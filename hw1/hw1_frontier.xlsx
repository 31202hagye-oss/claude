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harts" sheetId="1" state="visible" r:id="rId3"/>
    <sheet name="Parameters" sheetId="2" state="visible" r:id="rId4"/>
    <sheet name="Frontier" sheetId="3" state="visible" r:id="rId5"/>
    <sheet name="Slop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<sst xmlns="http://schemas.openxmlformats.org/spreadsheetml/2006/main" count="82" uniqueCount="74">
  <si>
    <t xml:space="preserve">Charts (data on the Frontier sheet)</t>
  </si>
  <si>
    <t xml:space="preserve">Tangency weights:  w1 =</t>
  </si>
  <si>
    <t xml:space="preserve">w2 =</t>
  </si>
  <si>
    <t xml:space="preserve">μp =</t>
  </si>
  <si>
    <t xml:space="preserve">σp =</t>
  </si>
  <si>
    <t xml:space="preserve">HW1 – Two risky assets + one risk-free asset</t>
  </si>
  <si>
    <t xml:space="preserve">Inputs (yellow cells can be changed)</t>
  </si>
  <si>
    <t xml:space="preserve">μ1</t>
  </si>
  <si>
    <t xml:space="preserve">μ2</t>
  </si>
  <si>
    <t xml:space="preserve">σ1</t>
  </si>
  <si>
    <t xml:space="preserve">σ2</t>
  </si>
  <si>
    <t xml:space="preserve">ρ12</t>
  </si>
  <si>
    <t xml:space="preserve">rf</t>
  </si>
  <si>
    <t xml:space="preserve">rf is not listed in the problem; 5% assumed – change here if your class used another value.</t>
  </si>
  <si>
    <t xml:space="preserve">Derived quantities</t>
  </si>
  <si>
    <t xml:space="preserve">σ12 = ρ12·σ1·σ2</t>
  </si>
  <si>
    <t xml:space="preserve">μe1 = μ1 − rf</t>
  </si>
  <si>
    <t xml:space="preserve">μe2 = μ2 − rf</t>
  </si>
  <si>
    <t xml:space="preserve">w (weight on asset 1, Eq. 1)</t>
  </si>
  <si>
    <t xml:space="preserve">1 − w (weight on asset 2)</t>
  </si>
  <si>
    <t xml:space="preserve">μp</t>
  </si>
  <si>
    <t xml:space="preserve">σp²</t>
  </si>
  <si>
    <t xml:space="preserve">σp</t>
  </si>
  <si>
    <t xml:space="preserve">Sharpe ratio (μp − rf)/σp</t>
  </si>
  <si>
    <t xml:space="preserve">w_GMV (global min-variance)</t>
  </si>
  <si>
    <t xml:space="preserve">μ_GMV</t>
  </si>
  <si>
    <t xml:space="preserve">σ²_GMV</t>
  </si>
  <si>
    <t xml:space="preserve">σ_GMV</t>
  </si>
  <si>
    <t xml:space="preserve">a = (σ1²+σ2²−2σ12)/(μ2−μ1)²</t>
  </si>
  <si>
    <t xml:space="preserve">Analytic parabola:</t>
  </si>
  <si>
    <t xml:space="preserve">σ² = σ²_GMV + a·(μ − μ_GMV)²</t>
  </si>
  <si>
    <t xml:space="preserve">Ray slope (μp − rf)/σp²</t>
  </si>
  <si>
    <t xml:space="preserve">Tangent slope at p = (μp − rf)/(2σp²)</t>
  </si>
  <si>
    <t xml:space="preserve">Tangent slope ÷ ray slope</t>
  </si>
  <si>
    <t xml:space="preserve">Risky-asset frontier for w1 = −0.5 … 1.5 (step 0.05)</t>
  </si>
  <si>
    <t xml:space="preserve">With rf: mean–SD (CML)</t>
  </si>
  <si>
    <t xml:space="preserve">With rf: mean–variance (Eq. 2)</t>
  </si>
  <si>
    <t xml:space="preserve">Analytic parabola on a μ grid</t>
  </si>
  <si>
    <t xml:space="preserve">Key points</t>
  </si>
  <si>
    <t xml:space="preserve">w1</t>
  </si>
  <si>
    <t xml:space="preserve">w2 = 1 − w1</t>
  </si>
  <si>
    <t xml:space="preserve">μc</t>
  </si>
  <si>
    <t xml:space="preserve">σc</t>
  </si>
  <si>
    <t xml:space="preserve">σc² (from weights)</t>
  </si>
  <si>
    <t xml:space="preserve">σc² (analytic parabola)</t>
  </si>
  <si>
    <t xml:space="preserve">difference</t>
  </si>
  <si>
    <t xml:space="preserve">μc upper = rf + SR·σc</t>
  </si>
  <si>
    <t xml:space="preserve">μc lower = rf − SR·σc</t>
  </si>
  <si>
    <t xml:space="preserve">σc²</t>
  </si>
  <si>
    <t xml:space="preserve">μc upper = rf + SR·√σc²</t>
  </si>
  <si>
    <t xml:space="preserve">μc lower = rf − SR·√σc²</t>
  </si>
  <si>
    <t xml:space="preserve">Ray rf→p: rf + [(μp−rf)/σp²]·σc²</t>
  </si>
  <si>
    <t xml:space="preserve">Tangent at p: μp + [(μp−rf)/(2σp²)]·(σc²−σp²)</t>
  </si>
  <si>
    <t xml:space="preserve">σc² = σ²_GMV + a(μc − μ_GMV)²</t>
  </si>
  <si>
    <t xml:space="preserve">Point</t>
  </si>
  <si>
    <t xml:space="preserve">σ</t>
  </si>
  <si>
    <t xml:space="preserve">σ²</t>
  </si>
  <si>
    <t xml:space="preserve">μ</t>
  </si>
  <si>
    <t xml:space="preserve">Asset 1</t>
  </si>
  <si>
    <t xml:space="preserve">Asset 2</t>
  </si>
  <si>
    <t xml:space="preserve">Tangency p</t>
  </si>
  <si>
    <t xml:space="preserve">Risk-free</t>
  </si>
  <si>
    <t xml:space="preserve">GMV</t>
  </si>
  <si>
    <t xml:space="preserve">Tangency weights:</t>
  </si>
  <si>
    <t xml:space="preserve">w1 (asset 1)</t>
  </si>
  <si>
    <t xml:space="preserve">w2 (asset 2)</t>
  </si>
  <si>
    <t xml:space="preserve">Ray slope vs tangent slope at points on the risky-asset frontier (σ² on x-axis)</t>
  </si>
  <si>
    <t xml:space="preserve">Tangent slope dμ/dσ² = (μ1 − μ2) / (2[w·σ1² − (1−w)·σ2² + (1−2w)·σ12]);  ray slope = (μ − rf)/σ².  Only at p is tangent = ½ × ray.</t>
  </si>
  <si>
    <t xml:space="preserve">Ray slope (μ − rf)/σ²</t>
  </si>
  <si>
    <t xml:space="preserve">Tangent slope dμ/dσ²</t>
  </si>
  <si>
    <t xml:space="preserve">Tangent ÷ ray</t>
  </si>
  <si>
    <t xml:space="preserve">Tangent-line intercept at σ²=0</t>
  </si>
  <si>
    <t xml:space="preserve">(rf + μ)/2</t>
  </si>
  <si>
    <t xml:space="preserve">inefficient (below GMV)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</si>
</sst>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0000"/>
    <numFmt numFmtId="167" formatCode="0.0E+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70AD47"/>
      <rgbColor rgb="FFFFCC00"/>
      <rgbColor rgb="FFFF9900"/>
      <rgbColor rgb="FFED7D31"/>
      <rgbColor rgb="FF666699"/>
      <rgbColor rgb="FF878787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Mean–standard deviation frontier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"Risky assets only"</c:f>
              <c:strCache>
                <c:ptCount val="1"/>
                <c:pt idx="0">
                  <c:v>Risky assets only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Frontier!$D$3:$D$43</c:f>
              <c:numCache>
                <c:formatCode>General</c:formatCode>
                <c:ptCount val="41"/>
                <c:pt idx="0">
                  <c:v>0.294321253055229</c:v>
                </c:pt>
                <c:pt idx="1">
                  <c:v>0.284299577910344</c:v>
                </c:pt>
                <c:pt idx="2">
                  <c:v>0.27437201023428</c:v>
                </c:pt>
                <c:pt idx="3">
                  <c:v>0.264549144772763</c:v>
                </c:pt>
                <c:pt idx="4">
                  <c:v>0.254843088978297</c:v>
                </c:pt>
                <c:pt idx="5">
                  <c:v>0.245267710879357</c:v>
                </c:pt>
                <c:pt idx="6">
                  <c:v>0.235838928084403</c:v>
                </c:pt>
                <c:pt idx="7">
                  <c:v>0.226575042756258</c:v>
                </c:pt>
                <c:pt idx="8">
                  <c:v>0.217497126417799</c:v>
                </c:pt>
                <c:pt idx="9">
                  <c:v>0.208629456213642</c:v>
                </c:pt>
                <c:pt idx="10">
                  <c:v>0.2</c:v>
                </c:pt>
                <c:pt idx="11">
                  <c:v>0.191640940302431</c:v>
                </c:pt>
                <c:pt idx="12">
                  <c:v>0.183589215369531</c:v>
                </c:pt>
                <c:pt idx="13">
                  <c:v>0.175887037612213</c:v>
                </c:pt>
                <c:pt idx="14">
                  <c:v>0.168582324103092</c:v>
                </c:pt>
                <c:pt idx="15">
                  <c:v>0.161728939896359</c:v>
                </c:pt>
                <c:pt idx="16">
                  <c:v>0.155386614610139</c:v>
                </c:pt>
                <c:pt idx="17">
                  <c:v>0.149620352893582</c:v>
                </c:pt>
                <c:pt idx="18">
                  <c:v>0.144499134945508</c:v>
                </c:pt>
                <c:pt idx="19">
                  <c:v>0.140093718631493</c:v>
                </c:pt>
                <c:pt idx="20">
                  <c:v>0.136473440639562</c:v>
                </c:pt>
                <c:pt idx="21">
                  <c:v>0.133702094224436</c:v>
                </c:pt>
                <c:pt idx="22">
                  <c:v>0.131833227981416</c:v>
                </c:pt>
                <c:pt idx="23">
                  <c:v>0.130905500266414</c:v>
                </c:pt>
                <c:pt idx="24">
                  <c:v>0.130938917056771</c:v>
                </c:pt>
                <c:pt idx="25">
                  <c:v>0.131932748019588</c:v>
                </c:pt>
                <c:pt idx="26">
                  <c:v>0.133865604245452</c:v>
                </c:pt>
                <c:pt idx="27">
                  <c:v>0.136697659087491</c:v>
                </c:pt>
                <c:pt idx="28">
                  <c:v>0.140374499108634</c:v>
                </c:pt>
                <c:pt idx="29">
                  <c:v>0.144831798994558</c:v>
                </c:pt>
                <c:pt idx="30">
                  <c:v>0.15</c:v>
                </c:pt>
                <c:pt idx="31">
                  <c:v>0.155808375898088</c:v>
                </c:pt>
                <c:pt idx="32">
                  <c:v>0.162188162330054</c:v>
                </c:pt>
                <c:pt idx="33">
                  <c:v>0.169074687638333</c:v>
                </c:pt>
                <c:pt idx="34">
                  <c:v>0.1764086165696</c:v>
                </c:pt>
                <c:pt idx="35">
                  <c:v>0.184136498283203</c:v>
                </c:pt>
                <c:pt idx="36">
                  <c:v>0.192210821755696</c:v>
                </c:pt>
                <c:pt idx="37">
                  <c:v>0.20058975547121</c:v>
                </c:pt>
                <c:pt idx="38">
                  <c:v>0.209236708060512</c:v>
                </c:pt>
                <c:pt idx="39">
                  <c:v>0.218119806528431</c:v>
                </c:pt>
                <c:pt idx="40">
                  <c:v>0.227211355350035</c:v>
                </c:pt>
              </c:numCache>
            </c:numRef>
          </c:xVal>
          <c:yVal>
            <c:numRef>
              <c:f>Frontier!$C$3:$C$43</c:f>
              <c:numCache>
                <c:formatCode>General</c:formatCode>
                <c:ptCount val="41"/>
                <c:pt idx="0">
                  <c:v>0.16</c:v>
                </c:pt>
                <c:pt idx="1">
                  <c:v>0.158</c:v>
                </c:pt>
                <c:pt idx="2">
                  <c:v>0.156</c:v>
                </c:pt>
                <c:pt idx="3">
                  <c:v>0.154</c:v>
                </c:pt>
                <c:pt idx="4">
                  <c:v>0.152</c:v>
                </c:pt>
                <c:pt idx="5">
                  <c:v>0.15</c:v>
                </c:pt>
                <c:pt idx="6">
                  <c:v>0.148</c:v>
                </c:pt>
                <c:pt idx="7">
                  <c:v>0.146</c:v>
                </c:pt>
                <c:pt idx="8">
                  <c:v>0.144</c:v>
                </c:pt>
                <c:pt idx="9">
                  <c:v>0.142</c:v>
                </c:pt>
                <c:pt idx="10">
                  <c:v>0.14</c:v>
                </c:pt>
                <c:pt idx="11">
                  <c:v>0.138</c:v>
                </c:pt>
                <c:pt idx="12">
                  <c:v>0.136</c:v>
                </c:pt>
                <c:pt idx="13">
                  <c:v>0.134</c:v>
                </c:pt>
                <c:pt idx="14">
                  <c:v>0.132</c:v>
                </c:pt>
                <c:pt idx="15">
                  <c:v>0.13</c:v>
                </c:pt>
                <c:pt idx="16">
                  <c:v>0.128</c:v>
                </c:pt>
                <c:pt idx="17">
                  <c:v>0.126</c:v>
                </c:pt>
                <c:pt idx="18">
                  <c:v>0.124</c:v>
                </c:pt>
                <c:pt idx="19">
                  <c:v>0.122</c:v>
                </c:pt>
                <c:pt idx="20">
                  <c:v>0.12</c:v>
                </c:pt>
                <c:pt idx="21">
                  <c:v>0.118</c:v>
                </c:pt>
                <c:pt idx="22">
                  <c:v>0.116</c:v>
                </c:pt>
                <c:pt idx="23">
                  <c:v>0.114</c:v>
                </c:pt>
                <c:pt idx="24">
                  <c:v>0.112</c:v>
                </c:pt>
                <c:pt idx="25">
                  <c:v>0.11</c:v>
                </c:pt>
                <c:pt idx="26">
                  <c:v>0.108</c:v>
                </c:pt>
                <c:pt idx="27">
                  <c:v>0.106</c:v>
                </c:pt>
                <c:pt idx="28">
                  <c:v>0.104</c:v>
                </c:pt>
                <c:pt idx="29">
                  <c:v>0.102</c:v>
                </c:pt>
                <c:pt idx="30">
                  <c:v>0.1</c:v>
                </c:pt>
                <c:pt idx="31">
                  <c:v>0.098</c:v>
                </c:pt>
                <c:pt idx="32">
                  <c:v>0.096</c:v>
                </c:pt>
                <c:pt idx="33">
                  <c:v>0.094</c:v>
                </c:pt>
                <c:pt idx="34">
                  <c:v>0.092</c:v>
                </c:pt>
                <c:pt idx="35">
                  <c:v>0.09</c:v>
                </c:pt>
                <c:pt idx="36">
                  <c:v>0.088</c:v>
                </c:pt>
                <c:pt idx="37">
                  <c:v>0.086</c:v>
                </c:pt>
                <c:pt idx="38">
                  <c:v>0.084</c:v>
                </c:pt>
                <c:pt idx="39">
                  <c:v>0.082</c:v>
                </c:pt>
                <c:pt idx="40">
                  <c:v>0.08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"With rf (upper CML)"</c:f>
              <c:strCache>
                <c:ptCount val="1"/>
                <c:pt idx="0">
                  <c:v>With rf (upper CML)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Frontier!$I$3:$I$33</c:f>
              <c:numCache>
                <c:formatCode>General</c:formatCode>
                <c:ptCount val="3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</c:numCache>
            </c:numRef>
          </c:xVal>
          <c:yVal>
            <c:numRef>
              <c:f>Frontier!$J$3:$J$33</c:f>
              <c:numCache>
                <c:formatCode>General</c:formatCode>
                <c:ptCount val="31"/>
                <c:pt idx="0">
                  <c:v>0.05</c:v>
                </c:pt>
                <c:pt idx="1">
                  <c:v>0.0551398272416565</c:v>
                </c:pt>
                <c:pt idx="2">
                  <c:v>0.060279654483313</c:v>
                </c:pt>
                <c:pt idx="3">
                  <c:v>0.0654194817249695</c:v>
                </c:pt>
                <c:pt idx="4">
                  <c:v>0.0705593089666259</c:v>
                </c:pt>
                <c:pt idx="5">
                  <c:v>0.0756991362082824</c:v>
                </c:pt>
                <c:pt idx="6">
                  <c:v>0.0808389634499389</c:v>
                </c:pt>
                <c:pt idx="7">
                  <c:v>0.0859787906915954</c:v>
                </c:pt>
                <c:pt idx="8">
                  <c:v>0.0911186179332519</c:v>
                </c:pt>
                <c:pt idx="9">
                  <c:v>0.0962584451749083</c:v>
                </c:pt>
                <c:pt idx="10">
                  <c:v>0.101398272416565</c:v>
                </c:pt>
                <c:pt idx="11">
                  <c:v>0.106538099658221</c:v>
                </c:pt>
                <c:pt idx="12">
                  <c:v>0.111677926899878</c:v>
                </c:pt>
                <c:pt idx="13">
                  <c:v>0.116817754141534</c:v>
                </c:pt>
                <c:pt idx="14">
                  <c:v>0.121957581383191</c:v>
                </c:pt>
                <c:pt idx="15">
                  <c:v>0.127097408624847</c:v>
                </c:pt>
                <c:pt idx="16">
                  <c:v>0.132237235866504</c:v>
                </c:pt>
                <c:pt idx="17">
                  <c:v>0.13737706310816</c:v>
                </c:pt>
                <c:pt idx="18">
                  <c:v>0.142516890349817</c:v>
                </c:pt>
                <c:pt idx="19">
                  <c:v>0.147656717591473</c:v>
                </c:pt>
                <c:pt idx="20">
                  <c:v>0.15279654483313</c:v>
                </c:pt>
                <c:pt idx="21">
                  <c:v>0.157936372074786</c:v>
                </c:pt>
                <c:pt idx="22">
                  <c:v>0.163076199316443</c:v>
                </c:pt>
                <c:pt idx="23">
                  <c:v>0.168216026558099</c:v>
                </c:pt>
                <c:pt idx="24">
                  <c:v>0.173355853799756</c:v>
                </c:pt>
                <c:pt idx="25">
                  <c:v>0.178495681041412</c:v>
                </c:pt>
                <c:pt idx="26">
                  <c:v>0.183635508283069</c:v>
                </c:pt>
                <c:pt idx="27">
                  <c:v>0.188775335524725</c:v>
                </c:pt>
                <c:pt idx="28">
                  <c:v>0.193915162766382</c:v>
                </c:pt>
                <c:pt idx="29">
                  <c:v>0.199054990008038</c:v>
                </c:pt>
                <c:pt idx="30">
                  <c:v>0.204194817249694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"With rf (lower)"</c:f>
              <c:strCache>
                <c:ptCount val="1"/>
                <c:pt idx="0">
                  <c:v>With rf (lower)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Frontier!$I$3:$I$33</c:f>
              <c:numCache>
                <c:formatCode>General</c:formatCode>
                <c:ptCount val="3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</c:numCache>
            </c:numRef>
          </c:xVal>
          <c:yVal>
            <c:numRef>
              <c:f>Frontier!$K$3:$K$33</c:f>
              <c:numCache>
                <c:formatCode>General</c:formatCode>
                <c:ptCount val="31"/>
                <c:pt idx="0">
                  <c:v>0.05</c:v>
                </c:pt>
                <c:pt idx="1">
                  <c:v>0.0448601727583435</c:v>
                </c:pt>
                <c:pt idx="2">
                  <c:v>0.039720345516687</c:v>
                </c:pt>
                <c:pt idx="3">
                  <c:v>0.0345805182750306</c:v>
                </c:pt>
                <c:pt idx="4">
                  <c:v>0.0294406910333741</c:v>
                </c:pt>
                <c:pt idx="5">
                  <c:v>0.0243008637917176</c:v>
                </c:pt>
                <c:pt idx="6">
                  <c:v>0.0191610365500611</c:v>
                </c:pt>
                <c:pt idx="7">
                  <c:v>0.0140212093084046</c:v>
                </c:pt>
                <c:pt idx="8">
                  <c:v>0.00888138206674814</c:v>
                </c:pt>
                <c:pt idx="9">
                  <c:v>0.00374155482509166</c:v>
                </c:pt>
                <c:pt idx="10">
                  <c:v>-0.00139827241656483</c:v>
                </c:pt>
                <c:pt idx="11">
                  <c:v>-0.00653809965822131</c:v>
                </c:pt>
                <c:pt idx="12">
                  <c:v>-0.0116779268998778</c:v>
                </c:pt>
                <c:pt idx="13">
                  <c:v>-0.0168177541415343</c:v>
                </c:pt>
                <c:pt idx="14">
                  <c:v>-0.0219575813831908</c:v>
                </c:pt>
                <c:pt idx="15">
                  <c:v>-0.0270974086248472</c:v>
                </c:pt>
                <c:pt idx="16">
                  <c:v>-0.0322372358665037</c:v>
                </c:pt>
                <c:pt idx="17">
                  <c:v>-0.0373770631081602</c:v>
                </c:pt>
                <c:pt idx="18">
                  <c:v>-0.0425168903498167</c:v>
                </c:pt>
                <c:pt idx="19">
                  <c:v>-0.0476567175914732</c:v>
                </c:pt>
                <c:pt idx="20">
                  <c:v>-0.0527965448331297</c:v>
                </c:pt>
                <c:pt idx="21">
                  <c:v>-0.0579363720747861</c:v>
                </c:pt>
                <c:pt idx="22">
                  <c:v>-0.0630761993164426</c:v>
                </c:pt>
                <c:pt idx="23">
                  <c:v>-0.0682160265580991</c:v>
                </c:pt>
                <c:pt idx="24">
                  <c:v>-0.0733558537997556</c:v>
                </c:pt>
                <c:pt idx="25">
                  <c:v>-0.0784956810414121</c:v>
                </c:pt>
                <c:pt idx="26">
                  <c:v>-0.0836355082830686</c:v>
                </c:pt>
                <c:pt idx="27">
                  <c:v>-0.088775335524725</c:v>
                </c:pt>
                <c:pt idx="28">
                  <c:v>-0.0939151627663815</c:v>
                </c:pt>
                <c:pt idx="29">
                  <c:v>-0.099054990008038</c:v>
                </c:pt>
                <c:pt idx="30">
                  <c:v>-0.104194817249694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"Asset 1"</c:f>
              <c:strCache>
                <c:ptCount val="1"/>
                <c:pt idx="0">
                  <c:v>Asset 1</c:v>
                </c:pt>
              </c:strCache>
            </c:strRef>
          </c:tx>
          <c:spPr>
            <a:solidFill>
              <a:srgbClr val="70ad47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Frontier!$X$3</c:f>
              <c:numCache>
                <c:formatCode>0.000000</c:formatCode>
                <c:ptCount val="1"/>
                <c:pt idx="0">
                  <c:v>0.15</c:v>
                </c:pt>
              </c:numCache>
            </c:numRef>
          </c:xVal>
          <c:yVal>
            <c:numRef>
              <c:f>Frontier!$Z$3</c:f>
              <c:numCache>
                <c:formatCode>0.000000</c:formatCode>
                <c:ptCount val="1"/>
                <c:pt idx="0">
                  <c:v>0.1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"Asset 2"</c:f>
              <c:strCache>
                <c:ptCount val="1"/>
                <c:pt idx="0">
                  <c:v>Asset 2</c:v>
                </c:pt>
              </c:strCache>
            </c:strRef>
          </c:tx>
          <c:spPr>
            <a:solidFill>
              <a:srgbClr val="7030a0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Frontier!$X$4</c:f>
              <c:numCache>
                <c:formatCode>0.000000</c:formatCode>
                <c:ptCount val="1"/>
                <c:pt idx="0">
                  <c:v>0.2</c:v>
                </c:pt>
              </c:numCache>
            </c:numRef>
          </c:xVal>
          <c:yVal>
            <c:numRef>
              <c:f>Frontier!$Z$4</c:f>
              <c:numCache>
                <c:formatCode>0.000000</c:formatCode>
                <c:ptCount val="1"/>
                <c:pt idx="0">
                  <c:v>0.14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"Tangency p"</c:f>
              <c:strCache>
                <c:ptCount val="1"/>
                <c:pt idx="0">
                  <c:v>Tangency p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diamond"/>
            <c:size val="11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Frontier!$X$5</c:f>
              <c:numCache>
                <c:formatCode>0.000000</c:formatCode>
                <c:ptCount val="1"/>
                <c:pt idx="0">
                  <c:v>0.139428908533476</c:v>
                </c:pt>
              </c:numCache>
            </c:numRef>
          </c:xVal>
          <c:yVal>
            <c:numRef>
              <c:f>Frontier!$Z$5</c:f>
              <c:numCache>
                <c:formatCode>0.000000</c:formatCode>
                <c:ptCount val="1"/>
                <c:pt idx="0">
                  <c:v>0.121664050235479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"Risk-free"</c:f>
              <c:strCache>
                <c:ptCount val="1"/>
                <c:pt idx="0">
                  <c:v>Risk-free</c:v>
                </c:pt>
              </c:strCache>
            </c:strRef>
          </c:tx>
          <c:spPr>
            <a:solidFill>
              <a:srgbClr val="0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Frontier!$X$6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Frontier!$Z$6</c:f>
              <c:numCache>
                <c:formatCode>0.000000</c:formatCode>
                <c:ptCount val="1"/>
                <c:pt idx="0">
                  <c:v>0.05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"GMV"</c:f>
              <c:strCache>
                <c:ptCount val="1"/>
                <c:pt idx="0">
                  <c:v>GMV</c:v>
                </c:pt>
              </c:strCache>
            </c:strRef>
          </c:tx>
          <c:spPr>
            <a:solidFill>
              <a:srgbClr val="808080"/>
            </a:solidFill>
            <a:ln w="47520">
              <a:noFill/>
            </a:ln>
          </c:spPr>
          <c:marker>
            <c:symbol val="triangle"/>
            <c:size val="9"/>
            <c:spPr>
              <a:solidFill>
                <a:srgbClr val="808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Frontier!$X$7</c:f>
              <c:numCache>
                <c:formatCode>General</c:formatCode>
                <c:ptCount val="1"/>
                <c:pt idx="0">
                  <c:v>0.130801035512297</c:v>
                </c:pt>
              </c:numCache>
            </c:numRef>
          </c:xVal>
          <c:yVal>
            <c:numRef>
              <c:f>Frontier!$Z$7</c:f>
              <c:numCache>
                <c:formatCode>0.000000</c:formatCode>
                <c:ptCount val="1"/>
                <c:pt idx="0">
                  <c:v>0.113069306930693</c:v>
                </c:pt>
              </c:numCache>
            </c:numRef>
          </c:yVal>
          <c:smooth val="1"/>
        </c:ser>
        <c:axId val="39607892"/>
        <c:axId val="40904930"/>
      </c:scatterChart>
      <c:valAx>
        <c:axId val="39607892"/>
        <c:scaling>
          <c:orientation val="minMax"/>
          <c:max val="0.3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Standard deviation σ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04930"/>
        <c:crosses val="autoZero"/>
        <c:crossBetween val="midCat"/>
      </c:valAx>
      <c:valAx>
        <c:axId val="40904930"/>
        <c:scaling>
          <c:orientation val="minMax"/>
          <c:max val="0.22"/>
          <c:min val="-0.0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Expected return 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60789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Mean–variance frontier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"Risky assets: from weights (w1 grid)"</c:f>
              <c:strCache>
                <c:ptCount val="1"/>
                <c:pt idx="0">
                  <c:v>Risky assets: from weights (w1 grid)</c:v>
                </c:pt>
              </c:strCache>
            </c:strRef>
          </c:tx>
          <c:spPr>
            <a:solidFill>
              <a:srgbClr val="4472c4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Frontier!$E$3:$E$43</c:f>
              <c:numCache>
                <c:formatCode>General</c:formatCode>
                <c:ptCount val="41"/>
                <c:pt idx="0">
                  <c:v>0.086625</c:v>
                </c:pt>
                <c:pt idx="1">
                  <c:v>0.08082625</c:v>
                </c:pt>
                <c:pt idx="2">
                  <c:v>0.07528</c:v>
                </c:pt>
                <c:pt idx="3">
                  <c:v>0.06998625</c:v>
                </c:pt>
                <c:pt idx="4">
                  <c:v>0.064945</c:v>
                </c:pt>
                <c:pt idx="5">
                  <c:v>0.06015625</c:v>
                </c:pt>
                <c:pt idx="6">
                  <c:v>0.05562</c:v>
                </c:pt>
                <c:pt idx="7">
                  <c:v>0.05133625</c:v>
                </c:pt>
                <c:pt idx="8">
                  <c:v>0.047305</c:v>
                </c:pt>
                <c:pt idx="9">
                  <c:v>0.04352625</c:v>
                </c:pt>
                <c:pt idx="10">
                  <c:v>0.04</c:v>
                </c:pt>
                <c:pt idx="11">
                  <c:v>0.03672625</c:v>
                </c:pt>
                <c:pt idx="12">
                  <c:v>0.033705</c:v>
                </c:pt>
                <c:pt idx="13">
                  <c:v>0.03093625</c:v>
                </c:pt>
                <c:pt idx="14">
                  <c:v>0.02842</c:v>
                </c:pt>
                <c:pt idx="15">
                  <c:v>0.02615625</c:v>
                </c:pt>
                <c:pt idx="16">
                  <c:v>0.024145</c:v>
                </c:pt>
                <c:pt idx="17">
                  <c:v>0.02238625</c:v>
                </c:pt>
                <c:pt idx="18">
                  <c:v>0.02088</c:v>
                </c:pt>
                <c:pt idx="19">
                  <c:v>0.01962625</c:v>
                </c:pt>
                <c:pt idx="20">
                  <c:v>0.018625</c:v>
                </c:pt>
                <c:pt idx="21">
                  <c:v>0.01787625</c:v>
                </c:pt>
                <c:pt idx="22">
                  <c:v>0.01738</c:v>
                </c:pt>
                <c:pt idx="23">
                  <c:v>0.01713625</c:v>
                </c:pt>
                <c:pt idx="24">
                  <c:v>0.017145</c:v>
                </c:pt>
                <c:pt idx="25">
                  <c:v>0.01740625</c:v>
                </c:pt>
                <c:pt idx="26">
                  <c:v>0.01792</c:v>
                </c:pt>
                <c:pt idx="27">
                  <c:v>0.01868625</c:v>
                </c:pt>
                <c:pt idx="28">
                  <c:v>0.019705</c:v>
                </c:pt>
                <c:pt idx="29">
                  <c:v>0.02097625</c:v>
                </c:pt>
                <c:pt idx="30">
                  <c:v>0.0225</c:v>
                </c:pt>
                <c:pt idx="31">
                  <c:v>0.02427625</c:v>
                </c:pt>
                <c:pt idx="32">
                  <c:v>0.026305</c:v>
                </c:pt>
                <c:pt idx="33">
                  <c:v>0.02858625</c:v>
                </c:pt>
                <c:pt idx="34">
                  <c:v>0.03112</c:v>
                </c:pt>
                <c:pt idx="35">
                  <c:v>0.03390625</c:v>
                </c:pt>
                <c:pt idx="36">
                  <c:v>0.036945</c:v>
                </c:pt>
                <c:pt idx="37">
                  <c:v>0.04023625</c:v>
                </c:pt>
                <c:pt idx="38">
                  <c:v>0.04378</c:v>
                </c:pt>
                <c:pt idx="39">
                  <c:v>0.04757625</c:v>
                </c:pt>
                <c:pt idx="40">
                  <c:v>0.051625</c:v>
                </c:pt>
              </c:numCache>
            </c:numRef>
          </c:xVal>
          <c:yVal>
            <c:numRef>
              <c:f>Frontier!$C$3:$C$43</c:f>
              <c:numCache>
                <c:formatCode>General</c:formatCode>
                <c:ptCount val="41"/>
                <c:pt idx="0">
                  <c:v>0.16</c:v>
                </c:pt>
                <c:pt idx="1">
                  <c:v>0.158</c:v>
                </c:pt>
                <c:pt idx="2">
                  <c:v>0.156</c:v>
                </c:pt>
                <c:pt idx="3">
                  <c:v>0.154</c:v>
                </c:pt>
                <c:pt idx="4">
                  <c:v>0.152</c:v>
                </c:pt>
                <c:pt idx="5">
                  <c:v>0.15</c:v>
                </c:pt>
                <c:pt idx="6">
                  <c:v>0.148</c:v>
                </c:pt>
                <c:pt idx="7">
                  <c:v>0.146</c:v>
                </c:pt>
                <c:pt idx="8">
                  <c:v>0.144</c:v>
                </c:pt>
                <c:pt idx="9">
                  <c:v>0.142</c:v>
                </c:pt>
                <c:pt idx="10">
                  <c:v>0.14</c:v>
                </c:pt>
                <c:pt idx="11">
                  <c:v>0.138</c:v>
                </c:pt>
                <c:pt idx="12">
                  <c:v>0.136</c:v>
                </c:pt>
                <c:pt idx="13">
                  <c:v>0.134</c:v>
                </c:pt>
                <c:pt idx="14">
                  <c:v>0.132</c:v>
                </c:pt>
                <c:pt idx="15">
                  <c:v>0.13</c:v>
                </c:pt>
                <c:pt idx="16">
                  <c:v>0.128</c:v>
                </c:pt>
                <c:pt idx="17">
                  <c:v>0.126</c:v>
                </c:pt>
                <c:pt idx="18">
                  <c:v>0.124</c:v>
                </c:pt>
                <c:pt idx="19">
                  <c:v>0.122</c:v>
                </c:pt>
                <c:pt idx="20">
                  <c:v>0.12</c:v>
                </c:pt>
                <c:pt idx="21">
                  <c:v>0.118</c:v>
                </c:pt>
                <c:pt idx="22">
                  <c:v>0.116</c:v>
                </c:pt>
                <c:pt idx="23">
                  <c:v>0.114</c:v>
                </c:pt>
                <c:pt idx="24">
                  <c:v>0.112</c:v>
                </c:pt>
                <c:pt idx="25">
                  <c:v>0.11</c:v>
                </c:pt>
                <c:pt idx="26">
                  <c:v>0.108</c:v>
                </c:pt>
                <c:pt idx="27">
                  <c:v>0.106</c:v>
                </c:pt>
                <c:pt idx="28">
                  <c:v>0.104</c:v>
                </c:pt>
                <c:pt idx="29">
                  <c:v>0.102</c:v>
                </c:pt>
                <c:pt idx="30">
                  <c:v>0.1</c:v>
                </c:pt>
                <c:pt idx="31">
                  <c:v>0.098</c:v>
                </c:pt>
                <c:pt idx="32">
                  <c:v>0.096</c:v>
                </c:pt>
                <c:pt idx="33">
                  <c:v>0.094</c:v>
                </c:pt>
                <c:pt idx="34">
                  <c:v>0.092</c:v>
                </c:pt>
                <c:pt idx="35">
                  <c:v>0.09</c:v>
                </c:pt>
                <c:pt idx="36">
                  <c:v>0.088</c:v>
                </c:pt>
                <c:pt idx="37">
                  <c:v>0.086</c:v>
                </c:pt>
                <c:pt idx="38">
                  <c:v>0.084</c:v>
                </c:pt>
                <c:pt idx="39">
                  <c:v>0.082</c:v>
                </c:pt>
                <c:pt idx="40">
                  <c:v>0.08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"Risky assets: analytic parabola"</c:f>
              <c:strCache>
                <c:ptCount val="1"/>
                <c:pt idx="0">
                  <c:v>Risky assets: analytic parabola</c:v>
                </c:pt>
              </c:strCache>
            </c:strRef>
          </c:tx>
          <c:spPr>
            <a:solidFill>
              <a:srgbClr val="1f3864"/>
            </a:solidFill>
            <a:ln w="1260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Frontier!$T$3:$T$35</c:f>
              <c:numCache>
                <c:formatCode>General</c:formatCode>
                <c:ptCount val="33"/>
                <c:pt idx="0">
                  <c:v>0.051625</c:v>
                </c:pt>
                <c:pt idx="1">
                  <c:v>0.046603515625</c:v>
                </c:pt>
                <c:pt idx="2">
                  <c:v>0.0419765625</c:v>
                </c:pt>
                <c:pt idx="3">
                  <c:v>0.037744140625</c:v>
                </c:pt>
                <c:pt idx="4">
                  <c:v>0.03390625</c:v>
                </c:pt>
                <c:pt idx="5">
                  <c:v>0.030462890625</c:v>
                </c:pt>
                <c:pt idx="6">
                  <c:v>0.0274140625</c:v>
                </c:pt>
                <c:pt idx="7">
                  <c:v>0.024759765625</c:v>
                </c:pt>
                <c:pt idx="8">
                  <c:v>0.0225</c:v>
                </c:pt>
                <c:pt idx="9">
                  <c:v>0.020634765625</c:v>
                </c:pt>
                <c:pt idx="10">
                  <c:v>0.0191640625</c:v>
                </c:pt>
                <c:pt idx="11">
                  <c:v>0.018087890625</c:v>
                </c:pt>
                <c:pt idx="12">
                  <c:v>0.01740625</c:v>
                </c:pt>
                <c:pt idx="13">
                  <c:v>0.017119140625</c:v>
                </c:pt>
                <c:pt idx="14">
                  <c:v>0.0172265625</c:v>
                </c:pt>
                <c:pt idx="15">
                  <c:v>0.017728515625</c:v>
                </c:pt>
                <c:pt idx="16">
                  <c:v>0.018625</c:v>
                </c:pt>
                <c:pt idx="17">
                  <c:v>0.019916015625</c:v>
                </c:pt>
                <c:pt idx="18">
                  <c:v>0.0216015625</c:v>
                </c:pt>
                <c:pt idx="19">
                  <c:v>0.023681640625</c:v>
                </c:pt>
                <c:pt idx="20">
                  <c:v>0.02615625</c:v>
                </c:pt>
                <c:pt idx="21">
                  <c:v>0.029025390625</c:v>
                </c:pt>
                <c:pt idx="22">
                  <c:v>0.0322890625</c:v>
                </c:pt>
                <c:pt idx="23">
                  <c:v>0.035947265625</c:v>
                </c:pt>
                <c:pt idx="24">
                  <c:v>0.04</c:v>
                </c:pt>
                <c:pt idx="25">
                  <c:v>0.044447265625</c:v>
                </c:pt>
                <c:pt idx="26">
                  <c:v>0.0492890625</c:v>
                </c:pt>
                <c:pt idx="27">
                  <c:v>0.054525390625</c:v>
                </c:pt>
                <c:pt idx="28">
                  <c:v>0.06015625</c:v>
                </c:pt>
                <c:pt idx="29">
                  <c:v>0.066181640625</c:v>
                </c:pt>
                <c:pt idx="30">
                  <c:v>0.0726015625</c:v>
                </c:pt>
                <c:pt idx="31">
                  <c:v>0.079416015625</c:v>
                </c:pt>
                <c:pt idx="32">
                  <c:v>0.086625</c:v>
                </c:pt>
              </c:numCache>
            </c:numRef>
          </c:xVal>
          <c:yVal>
            <c:numRef>
              <c:f>Frontier!$S$3:$S$35</c:f>
              <c:numCache>
                <c:formatCode>General</c:formatCode>
                <c:ptCount val="33"/>
                <c:pt idx="0">
                  <c:v>0.08</c:v>
                </c:pt>
                <c:pt idx="1">
                  <c:v>0.0825</c:v>
                </c:pt>
                <c:pt idx="2">
                  <c:v>0.085</c:v>
                </c:pt>
                <c:pt idx="3">
                  <c:v>0.0875</c:v>
                </c:pt>
                <c:pt idx="4">
                  <c:v>0.09</c:v>
                </c:pt>
                <c:pt idx="5">
                  <c:v>0.0925</c:v>
                </c:pt>
                <c:pt idx="6">
                  <c:v>0.095</c:v>
                </c:pt>
                <c:pt idx="7">
                  <c:v>0.0975</c:v>
                </c:pt>
                <c:pt idx="8">
                  <c:v>0.1</c:v>
                </c:pt>
                <c:pt idx="9">
                  <c:v>0.1025</c:v>
                </c:pt>
                <c:pt idx="10">
                  <c:v>0.105</c:v>
                </c:pt>
                <c:pt idx="11">
                  <c:v>0.1075</c:v>
                </c:pt>
                <c:pt idx="12">
                  <c:v>0.11</c:v>
                </c:pt>
                <c:pt idx="13">
                  <c:v>0.1125</c:v>
                </c:pt>
                <c:pt idx="14">
                  <c:v>0.115</c:v>
                </c:pt>
                <c:pt idx="15">
                  <c:v>0.1175</c:v>
                </c:pt>
                <c:pt idx="16">
                  <c:v>0.12</c:v>
                </c:pt>
                <c:pt idx="17">
                  <c:v>0.1225</c:v>
                </c:pt>
                <c:pt idx="18">
                  <c:v>0.125</c:v>
                </c:pt>
                <c:pt idx="19">
                  <c:v>0.1275</c:v>
                </c:pt>
                <c:pt idx="20">
                  <c:v>0.13</c:v>
                </c:pt>
                <c:pt idx="21">
                  <c:v>0.1325</c:v>
                </c:pt>
                <c:pt idx="22">
                  <c:v>0.135</c:v>
                </c:pt>
                <c:pt idx="23">
                  <c:v>0.1375</c:v>
                </c:pt>
                <c:pt idx="24">
                  <c:v>0.14</c:v>
                </c:pt>
                <c:pt idx="25">
                  <c:v>0.1425</c:v>
                </c:pt>
                <c:pt idx="26">
                  <c:v>0.145</c:v>
                </c:pt>
                <c:pt idx="27">
                  <c:v>0.1475</c:v>
                </c:pt>
                <c:pt idx="28">
                  <c:v>0.15</c:v>
                </c:pt>
                <c:pt idx="29">
                  <c:v>0.1525</c:v>
                </c:pt>
                <c:pt idx="30">
                  <c:v>0.155</c:v>
                </c:pt>
                <c:pt idx="31">
                  <c:v>0.1575</c:v>
                </c:pt>
                <c:pt idx="32">
                  <c:v>0.16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"With rf: rf + SR·√σ² (Eq. 2)"</c:f>
              <c:strCache>
                <c:ptCount val="1"/>
                <c:pt idx="0">
                  <c:v>With rf: rf + SR·√σ² (Eq. 2)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Frontier!$M$3:$M$48</c:f>
              <c:numCache>
                <c:formatCode>General</c:formatCode>
                <c:ptCount val="46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  <c:pt idx="22">
                  <c:v>0.044</c:v>
                </c:pt>
                <c:pt idx="23">
                  <c:v>0.046</c:v>
                </c:pt>
                <c:pt idx="24">
                  <c:v>0.048</c:v>
                </c:pt>
                <c:pt idx="25">
                  <c:v>0.05</c:v>
                </c:pt>
                <c:pt idx="26">
                  <c:v>0.052</c:v>
                </c:pt>
                <c:pt idx="27">
                  <c:v>0.054</c:v>
                </c:pt>
                <c:pt idx="28">
                  <c:v>0.056</c:v>
                </c:pt>
                <c:pt idx="29">
                  <c:v>0.058</c:v>
                </c:pt>
                <c:pt idx="30">
                  <c:v>0.06</c:v>
                </c:pt>
                <c:pt idx="31">
                  <c:v>0.062</c:v>
                </c:pt>
                <c:pt idx="32">
                  <c:v>0.064</c:v>
                </c:pt>
                <c:pt idx="33">
                  <c:v>0.066</c:v>
                </c:pt>
                <c:pt idx="34">
                  <c:v>0.068</c:v>
                </c:pt>
                <c:pt idx="35">
                  <c:v>0.07</c:v>
                </c:pt>
                <c:pt idx="36">
                  <c:v>0.072</c:v>
                </c:pt>
                <c:pt idx="37">
                  <c:v>0.074</c:v>
                </c:pt>
                <c:pt idx="38">
                  <c:v>0.076</c:v>
                </c:pt>
                <c:pt idx="39">
                  <c:v>0.078</c:v>
                </c:pt>
                <c:pt idx="40">
                  <c:v>0.08</c:v>
                </c:pt>
                <c:pt idx="41">
                  <c:v>0.082</c:v>
                </c:pt>
                <c:pt idx="42">
                  <c:v>0.084</c:v>
                </c:pt>
                <c:pt idx="43">
                  <c:v>0.086</c:v>
                </c:pt>
                <c:pt idx="44">
                  <c:v>0.088</c:v>
                </c:pt>
                <c:pt idx="45">
                  <c:v>0.09</c:v>
                </c:pt>
              </c:numCache>
            </c:numRef>
          </c:xVal>
          <c:yVal>
            <c:numRef>
              <c:f>Frontier!$N$3:$N$48</c:f>
              <c:numCache>
                <c:formatCode>General</c:formatCode>
                <c:ptCount val="46"/>
                <c:pt idx="0">
                  <c:v>0.05</c:v>
                </c:pt>
                <c:pt idx="1">
                  <c:v>0.0729860062098983</c:v>
                </c:pt>
                <c:pt idx="2">
                  <c:v>0.0825071217268303</c:v>
                </c:pt>
                <c:pt idx="3">
                  <c:v>0.0898129306186375</c:v>
                </c:pt>
                <c:pt idx="4">
                  <c:v>0.0959720124197965</c:v>
                </c:pt>
                <c:pt idx="5">
                  <c:v>0.101398272416565</c:v>
                </c:pt>
                <c:pt idx="6">
                  <c:v>0.106303986438696</c:v>
                </c:pt>
                <c:pt idx="7">
                  <c:v>0.110815256065977</c:v>
                </c:pt>
                <c:pt idx="8">
                  <c:v>0.115014243453661</c:v>
                </c:pt>
                <c:pt idx="9">
                  <c:v>0.118958018629695</c:v>
                </c:pt>
                <c:pt idx="10">
                  <c:v>0.122688133934053</c:v>
                </c:pt>
                <c:pt idx="11">
                  <c:v>0.126235958027012</c:v>
                </c:pt>
                <c:pt idx="12">
                  <c:v>0.129625861237275</c:v>
                </c:pt>
                <c:pt idx="13">
                  <c:v>0.132877224007922</c:v>
                </c:pt>
                <c:pt idx="14">
                  <c:v>0.136005759927698</c:v>
                </c:pt>
                <c:pt idx="15">
                  <c:v>0.139024419246756</c:v>
                </c:pt>
                <c:pt idx="16">
                  <c:v>0.141944024839593</c:v>
                </c:pt>
                <c:pt idx="17">
                  <c:v>0.144773731514514</c:v>
                </c:pt>
                <c:pt idx="18">
                  <c:v>0.147521365180491</c:v>
                </c:pt>
                <c:pt idx="19">
                  <c:v>0.150193678184545</c:v>
                </c:pt>
                <c:pt idx="20">
                  <c:v>0.15279654483313</c:v>
                </c:pt>
                <c:pt idx="21">
                  <c:v>0.155335113381584</c:v>
                </c:pt>
                <c:pt idx="22">
                  <c:v>0.157813925782306</c:v>
                </c:pt>
                <c:pt idx="23">
                  <c:v>0.160237013176492</c:v>
                </c:pt>
                <c:pt idx="24">
                  <c:v>0.162607972877392</c:v>
                </c:pt>
                <c:pt idx="25">
                  <c:v>0.164930031049491</c:v>
                </c:pt>
                <c:pt idx="26">
                  <c:v>0.167206094203836</c:v>
                </c:pt>
                <c:pt idx="27">
                  <c:v>0.169438791855913</c:v>
                </c:pt>
                <c:pt idx="28">
                  <c:v>0.171630512131954</c:v>
                </c:pt>
                <c:pt idx="29">
                  <c:v>0.173783431698119</c:v>
                </c:pt>
                <c:pt idx="30">
                  <c:v>0.175899541081151</c:v>
                </c:pt>
                <c:pt idx="31">
                  <c:v>0.177980666219261</c:v>
                </c:pt>
                <c:pt idx="32">
                  <c:v>0.180028486907321</c:v>
                </c:pt>
                <c:pt idx="33">
                  <c:v>0.182044552666473</c:v>
                </c:pt>
                <c:pt idx="34">
                  <c:v>0.184030296464532</c:v>
                </c:pt>
                <c:pt idx="35">
                  <c:v>0.185987046632581</c:v>
                </c:pt>
                <c:pt idx="36">
                  <c:v>0.18791603725939</c:v>
                </c:pt>
                <c:pt idx="37">
                  <c:v>0.189818417294771</c:v>
                </c:pt>
                <c:pt idx="38">
                  <c:v>0.191695258552629</c:v>
                </c:pt>
                <c:pt idx="39">
                  <c:v>0.193547562771988</c:v>
                </c:pt>
                <c:pt idx="40">
                  <c:v>0.195376267868106</c:v>
                </c:pt>
                <c:pt idx="41">
                  <c:v>0.197182253484382</c:v>
                </c:pt>
                <c:pt idx="42">
                  <c:v>0.198966345938344</c:v>
                </c:pt>
                <c:pt idx="43">
                  <c:v>0.200729322640632</c:v>
                </c:pt>
                <c:pt idx="44">
                  <c:v>0.202471916054024</c:v>
                </c:pt>
                <c:pt idx="45">
                  <c:v>0.204194817249694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"With rf: rf − SR·√σ²"</c:f>
              <c:strCache>
                <c:ptCount val="1"/>
                <c:pt idx="0">
                  <c:v>With rf: rf − SR·√σ²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Frontier!$M$3:$M$48</c:f>
              <c:numCache>
                <c:formatCode>General</c:formatCode>
                <c:ptCount val="46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  <c:pt idx="22">
                  <c:v>0.044</c:v>
                </c:pt>
                <c:pt idx="23">
                  <c:v>0.046</c:v>
                </c:pt>
                <c:pt idx="24">
                  <c:v>0.048</c:v>
                </c:pt>
                <c:pt idx="25">
                  <c:v>0.05</c:v>
                </c:pt>
                <c:pt idx="26">
                  <c:v>0.052</c:v>
                </c:pt>
                <c:pt idx="27">
                  <c:v>0.054</c:v>
                </c:pt>
                <c:pt idx="28">
                  <c:v>0.056</c:v>
                </c:pt>
                <c:pt idx="29">
                  <c:v>0.058</c:v>
                </c:pt>
                <c:pt idx="30">
                  <c:v>0.06</c:v>
                </c:pt>
                <c:pt idx="31">
                  <c:v>0.062</c:v>
                </c:pt>
                <c:pt idx="32">
                  <c:v>0.064</c:v>
                </c:pt>
                <c:pt idx="33">
                  <c:v>0.066</c:v>
                </c:pt>
                <c:pt idx="34">
                  <c:v>0.068</c:v>
                </c:pt>
                <c:pt idx="35">
                  <c:v>0.07</c:v>
                </c:pt>
                <c:pt idx="36">
                  <c:v>0.072</c:v>
                </c:pt>
                <c:pt idx="37">
                  <c:v>0.074</c:v>
                </c:pt>
                <c:pt idx="38">
                  <c:v>0.076</c:v>
                </c:pt>
                <c:pt idx="39">
                  <c:v>0.078</c:v>
                </c:pt>
                <c:pt idx="40">
                  <c:v>0.08</c:v>
                </c:pt>
                <c:pt idx="41">
                  <c:v>0.082</c:v>
                </c:pt>
                <c:pt idx="42">
                  <c:v>0.084</c:v>
                </c:pt>
                <c:pt idx="43">
                  <c:v>0.086</c:v>
                </c:pt>
                <c:pt idx="44">
                  <c:v>0.088</c:v>
                </c:pt>
                <c:pt idx="45">
                  <c:v>0.09</c:v>
                </c:pt>
              </c:numCache>
            </c:numRef>
          </c:xVal>
          <c:yVal>
            <c:numRef>
              <c:f>Frontier!$O$3:$O$48</c:f>
              <c:numCache>
                <c:formatCode>General</c:formatCode>
                <c:ptCount val="46"/>
                <c:pt idx="0">
                  <c:v>0.05</c:v>
                </c:pt>
                <c:pt idx="1">
                  <c:v>0.0270139937901017</c:v>
                </c:pt>
                <c:pt idx="2">
                  <c:v>0.0174928782731697</c:v>
                </c:pt>
                <c:pt idx="3">
                  <c:v>0.0101870693813625</c:v>
                </c:pt>
                <c:pt idx="4">
                  <c:v>0.00402798758020347</c:v>
                </c:pt>
                <c:pt idx="5">
                  <c:v>-0.00139827241656483</c:v>
                </c:pt>
                <c:pt idx="6">
                  <c:v>-0.00630398643869624</c:v>
                </c:pt>
                <c:pt idx="7">
                  <c:v>-0.0108152560659772</c:v>
                </c:pt>
                <c:pt idx="8">
                  <c:v>-0.0150142434536606</c:v>
                </c:pt>
                <c:pt idx="9">
                  <c:v>-0.0189580186296948</c:v>
                </c:pt>
                <c:pt idx="10">
                  <c:v>-0.0226881339340529</c:v>
                </c:pt>
                <c:pt idx="11">
                  <c:v>-0.0262359580270118</c:v>
                </c:pt>
                <c:pt idx="12">
                  <c:v>-0.0296258612372751</c:v>
                </c:pt>
                <c:pt idx="13">
                  <c:v>-0.0328772240079219</c:v>
                </c:pt>
                <c:pt idx="14">
                  <c:v>-0.0360057599276975</c:v>
                </c:pt>
                <c:pt idx="15">
                  <c:v>-0.0390244192467563</c:v>
                </c:pt>
                <c:pt idx="16">
                  <c:v>-0.0419440248395931</c:v>
                </c:pt>
                <c:pt idx="17">
                  <c:v>-0.044773731514514</c:v>
                </c:pt>
                <c:pt idx="18">
                  <c:v>-0.0475213651804909</c:v>
                </c:pt>
                <c:pt idx="19">
                  <c:v>-0.0501936781845449</c:v>
                </c:pt>
                <c:pt idx="20">
                  <c:v>-0.0527965448331297</c:v>
                </c:pt>
                <c:pt idx="21">
                  <c:v>-0.0553351133815838</c:v>
                </c:pt>
                <c:pt idx="22">
                  <c:v>-0.0578139257823061</c:v>
                </c:pt>
                <c:pt idx="23">
                  <c:v>-0.060237013176492</c:v>
                </c:pt>
                <c:pt idx="24">
                  <c:v>-0.0626079728773925</c:v>
                </c:pt>
                <c:pt idx="25">
                  <c:v>-0.0649300310494913</c:v>
                </c:pt>
                <c:pt idx="26">
                  <c:v>-0.0672060942038362</c:v>
                </c:pt>
                <c:pt idx="27">
                  <c:v>-0.0694387918559126</c:v>
                </c:pt>
                <c:pt idx="28">
                  <c:v>-0.0716305121319543</c:v>
                </c:pt>
                <c:pt idx="29">
                  <c:v>-0.0737834316981193</c:v>
                </c:pt>
                <c:pt idx="30">
                  <c:v>-0.0758995410811511</c:v>
                </c:pt>
                <c:pt idx="31">
                  <c:v>-0.0779806662192612</c:v>
                </c:pt>
                <c:pt idx="32">
                  <c:v>-0.0800284869073212</c:v>
                </c:pt>
                <c:pt idx="33">
                  <c:v>-0.0820445526664728</c:v>
                </c:pt>
                <c:pt idx="34">
                  <c:v>-0.0840302964645322</c:v>
                </c:pt>
                <c:pt idx="35">
                  <c:v>-0.0859870466325814</c:v>
                </c:pt>
                <c:pt idx="36">
                  <c:v>-0.0879160372593896</c:v>
                </c:pt>
                <c:pt idx="37">
                  <c:v>-0.0898184172947714</c:v>
                </c:pt>
                <c:pt idx="38">
                  <c:v>-0.0916952585526287</c:v>
                </c:pt>
                <c:pt idx="39">
                  <c:v>-0.0935475627719878</c:v>
                </c:pt>
                <c:pt idx="40">
                  <c:v>-0.0953762678681059</c:v>
                </c:pt>
                <c:pt idx="41">
                  <c:v>-0.0971822534843816</c:v>
                </c:pt>
                <c:pt idx="42">
                  <c:v>-0.0989663459383435</c:v>
                </c:pt>
                <c:pt idx="43">
                  <c:v>-0.100729322640632</c:v>
                </c:pt>
                <c:pt idx="44">
                  <c:v>-0.102471916054024</c:v>
                </c:pt>
                <c:pt idx="45">
                  <c:v>-0.104194817249694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"Asset 1"</c:f>
              <c:strCache>
                <c:ptCount val="1"/>
                <c:pt idx="0">
                  <c:v>Asset 1</c:v>
                </c:pt>
              </c:strCache>
            </c:strRef>
          </c:tx>
          <c:spPr>
            <a:solidFill>
              <a:srgbClr val="70ad47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Frontier!$Y$3</c:f>
              <c:numCache>
                <c:formatCode>General</c:formatCode>
                <c:ptCount val="1"/>
                <c:pt idx="0">
                  <c:v>0.0225</c:v>
                </c:pt>
              </c:numCache>
            </c:numRef>
          </c:xVal>
          <c:yVal>
            <c:numRef>
              <c:f>Frontier!$Z$3</c:f>
              <c:numCache>
                <c:formatCode>0.000000</c:formatCode>
                <c:ptCount val="1"/>
                <c:pt idx="0">
                  <c:v>0.1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"Asset 2"</c:f>
              <c:strCache>
                <c:ptCount val="1"/>
                <c:pt idx="0">
                  <c:v>Asset 2</c:v>
                </c:pt>
              </c:strCache>
            </c:strRef>
          </c:tx>
          <c:spPr>
            <a:solidFill>
              <a:srgbClr val="7030a0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Frontier!$Y$4</c:f>
              <c:numCache>
                <c:formatCode>General</c:formatCode>
                <c:ptCount val="1"/>
                <c:pt idx="0">
                  <c:v>0.04</c:v>
                </c:pt>
              </c:numCache>
            </c:numRef>
          </c:xVal>
          <c:yVal>
            <c:numRef>
              <c:f>Frontier!$Z$4</c:f>
              <c:numCache>
                <c:formatCode>0.000000</c:formatCode>
                <c:ptCount val="1"/>
                <c:pt idx="0">
                  <c:v>0.14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"Tangency p"</c:f>
              <c:strCache>
                <c:ptCount val="1"/>
                <c:pt idx="0">
                  <c:v>Tangency p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diamond"/>
            <c:size val="11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Frontier!$Y$5</c:f>
              <c:numCache>
                <c:formatCode>General</c:formatCode>
                <c:ptCount val="1"/>
                <c:pt idx="0">
                  <c:v>0.0194404205348363</c:v>
                </c:pt>
              </c:numCache>
            </c:numRef>
          </c:xVal>
          <c:yVal>
            <c:numRef>
              <c:f>Frontier!$Z$5</c:f>
              <c:numCache>
                <c:formatCode>0.000000</c:formatCode>
                <c:ptCount val="1"/>
                <c:pt idx="0">
                  <c:v>0.121664050235479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"Risk-free"</c:f>
              <c:strCache>
                <c:ptCount val="1"/>
                <c:pt idx="0">
                  <c:v>Risk-free</c:v>
                </c:pt>
              </c:strCache>
            </c:strRef>
          </c:tx>
          <c:spPr>
            <a:solidFill>
              <a:srgbClr val="0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Frontier!$Z$6</c:f>
              <c:numCache>
                <c:formatCode>0.000000</c:formatCode>
                <c:ptCount val="1"/>
                <c:pt idx="0">
                  <c:v>0.05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"GMV"</c:f>
              <c:strCache>
                <c:ptCount val="1"/>
                <c:pt idx="0">
                  <c:v>GMV</c:v>
                </c:pt>
              </c:strCache>
            </c:strRef>
          </c:tx>
          <c:spPr>
            <a:solidFill>
              <a:srgbClr val="808080"/>
            </a:solidFill>
            <a:ln w="47520">
              <a:noFill/>
            </a:ln>
          </c:spPr>
          <c:marker>
            <c:symbol val="triangle"/>
            <c:size val="9"/>
            <c:spPr>
              <a:solidFill>
                <a:srgbClr val="808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Frontier!$Y$7</c:f>
              <c:numCache>
                <c:formatCode>General</c:formatCode>
                <c:ptCount val="1"/>
                <c:pt idx="0">
                  <c:v>0.0171089108910891</c:v>
                </c:pt>
              </c:numCache>
            </c:numRef>
          </c:xVal>
          <c:yVal>
            <c:numRef>
              <c:f>Frontier!$Z$7</c:f>
              <c:numCache>
                <c:formatCode>0.000000</c:formatCode>
                <c:ptCount val="1"/>
                <c:pt idx="0">
                  <c:v>0.113069306930693</c:v>
                </c:pt>
              </c:numCache>
            </c:numRef>
          </c:yVal>
          <c:smooth val="1"/>
        </c:ser>
        <c:axId val="23399953"/>
        <c:axId val="34215123"/>
      </c:scatterChart>
      <c:valAx>
        <c:axId val="23399953"/>
        <c:scaling>
          <c:orientation val="minMax"/>
          <c:max val="0.09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Variance σ²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15123"/>
        <c:crosses val="autoZero"/>
        <c:crossBetween val="midCat"/>
      </c:valAx>
      <c:valAx>
        <c:axId val="34215123"/>
        <c:scaling>
          <c:orientation val="minMax"/>
          <c:max val="0.22"/>
          <c:min val="-0.0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Expected return 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9995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Ray rf→p vs tangent at p (mean–variance space)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"Risky-asset frontier"</c:f>
              <c:strCache>
                <c:ptCount val="1"/>
                <c:pt idx="0">
                  <c:v>Risky-asset frontier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Frontier!$T$3:$T$35</c:f>
              <c:numCache>
                <c:formatCode>General</c:formatCode>
                <c:ptCount val="33"/>
                <c:pt idx="0">
                  <c:v>0.051625</c:v>
                </c:pt>
                <c:pt idx="1">
                  <c:v>0.046603515625</c:v>
                </c:pt>
                <c:pt idx="2">
                  <c:v>0.0419765625</c:v>
                </c:pt>
                <c:pt idx="3">
                  <c:v>0.037744140625</c:v>
                </c:pt>
                <c:pt idx="4">
                  <c:v>0.03390625</c:v>
                </c:pt>
                <c:pt idx="5">
                  <c:v>0.030462890625</c:v>
                </c:pt>
                <c:pt idx="6">
                  <c:v>0.0274140625</c:v>
                </c:pt>
                <c:pt idx="7">
                  <c:v>0.024759765625</c:v>
                </c:pt>
                <c:pt idx="8">
                  <c:v>0.0225</c:v>
                </c:pt>
                <c:pt idx="9">
                  <c:v>0.020634765625</c:v>
                </c:pt>
                <c:pt idx="10">
                  <c:v>0.0191640625</c:v>
                </c:pt>
                <c:pt idx="11">
                  <c:v>0.018087890625</c:v>
                </c:pt>
                <c:pt idx="12">
                  <c:v>0.01740625</c:v>
                </c:pt>
                <c:pt idx="13">
                  <c:v>0.017119140625</c:v>
                </c:pt>
                <c:pt idx="14">
                  <c:v>0.0172265625</c:v>
                </c:pt>
                <c:pt idx="15">
                  <c:v>0.017728515625</c:v>
                </c:pt>
                <c:pt idx="16">
                  <c:v>0.018625</c:v>
                </c:pt>
                <c:pt idx="17">
                  <c:v>0.019916015625</c:v>
                </c:pt>
                <c:pt idx="18">
                  <c:v>0.0216015625</c:v>
                </c:pt>
                <c:pt idx="19">
                  <c:v>0.023681640625</c:v>
                </c:pt>
                <c:pt idx="20">
                  <c:v>0.02615625</c:v>
                </c:pt>
                <c:pt idx="21">
                  <c:v>0.029025390625</c:v>
                </c:pt>
                <c:pt idx="22">
                  <c:v>0.0322890625</c:v>
                </c:pt>
                <c:pt idx="23">
                  <c:v>0.035947265625</c:v>
                </c:pt>
                <c:pt idx="24">
                  <c:v>0.04</c:v>
                </c:pt>
                <c:pt idx="25">
                  <c:v>0.044447265625</c:v>
                </c:pt>
                <c:pt idx="26">
                  <c:v>0.0492890625</c:v>
                </c:pt>
                <c:pt idx="27">
                  <c:v>0.054525390625</c:v>
                </c:pt>
                <c:pt idx="28">
                  <c:v>0.06015625</c:v>
                </c:pt>
                <c:pt idx="29">
                  <c:v>0.066181640625</c:v>
                </c:pt>
                <c:pt idx="30">
                  <c:v>0.0726015625</c:v>
                </c:pt>
                <c:pt idx="31">
                  <c:v>0.079416015625</c:v>
                </c:pt>
                <c:pt idx="32">
                  <c:v>0.086625</c:v>
                </c:pt>
              </c:numCache>
            </c:numRef>
          </c:xVal>
          <c:yVal>
            <c:numRef>
              <c:f>Frontier!$S$3:$S$35</c:f>
              <c:numCache>
                <c:formatCode>General</c:formatCode>
                <c:ptCount val="33"/>
                <c:pt idx="0">
                  <c:v>0.08</c:v>
                </c:pt>
                <c:pt idx="1">
                  <c:v>0.0825</c:v>
                </c:pt>
                <c:pt idx="2">
                  <c:v>0.085</c:v>
                </c:pt>
                <c:pt idx="3">
                  <c:v>0.0875</c:v>
                </c:pt>
                <c:pt idx="4">
                  <c:v>0.09</c:v>
                </c:pt>
                <c:pt idx="5">
                  <c:v>0.0925</c:v>
                </c:pt>
                <c:pt idx="6">
                  <c:v>0.095</c:v>
                </c:pt>
                <c:pt idx="7">
                  <c:v>0.0975</c:v>
                </c:pt>
                <c:pt idx="8">
                  <c:v>0.1</c:v>
                </c:pt>
                <c:pt idx="9">
                  <c:v>0.1025</c:v>
                </c:pt>
                <c:pt idx="10">
                  <c:v>0.105</c:v>
                </c:pt>
                <c:pt idx="11">
                  <c:v>0.1075</c:v>
                </c:pt>
                <c:pt idx="12">
                  <c:v>0.11</c:v>
                </c:pt>
                <c:pt idx="13">
                  <c:v>0.1125</c:v>
                </c:pt>
                <c:pt idx="14">
                  <c:v>0.115</c:v>
                </c:pt>
                <c:pt idx="15">
                  <c:v>0.1175</c:v>
                </c:pt>
                <c:pt idx="16">
                  <c:v>0.12</c:v>
                </c:pt>
                <c:pt idx="17">
                  <c:v>0.1225</c:v>
                </c:pt>
                <c:pt idx="18">
                  <c:v>0.125</c:v>
                </c:pt>
                <c:pt idx="19">
                  <c:v>0.1275</c:v>
                </c:pt>
                <c:pt idx="20">
                  <c:v>0.13</c:v>
                </c:pt>
                <c:pt idx="21">
                  <c:v>0.1325</c:v>
                </c:pt>
                <c:pt idx="22">
                  <c:v>0.135</c:v>
                </c:pt>
                <c:pt idx="23">
                  <c:v>0.1375</c:v>
                </c:pt>
                <c:pt idx="24">
                  <c:v>0.14</c:v>
                </c:pt>
                <c:pt idx="25">
                  <c:v>0.1425</c:v>
                </c:pt>
                <c:pt idx="26">
                  <c:v>0.145</c:v>
                </c:pt>
                <c:pt idx="27">
                  <c:v>0.1475</c:v>
                </c:pt>
                <c:pt idx="28">
                  <c:v>0.15</c:v>
                </c:pt>
                <c:pt idx="29">
                  <c:v>0.1525</c:v>
                </c:pt>
                <c:pt idx="30">
                  <c:v>0.155</c:v>
                </c:pt>
                <c:pt idx="31">
                  <c:v>0.1575</c:v>
                </c:pt>
                <c:pt idx="32">
                  <c:v>0.16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"Eq. 2 frontier"</c:f>
              <c:strCache>
                <c:ptCount val="1"/>
                <c:pt idx="0">
                  <c:v>Eq. 2 frontier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Frontier!$M$3:$M$48</c:f>
              <c:numCache>
                <c:formatCode>General</c:formatCode>
                <c:ptCount val="46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  <c:pt idx="22">
                  <c:v>0.044</c:v>
                </c:pt>
                <c:pt idx="23">
                  <c:v>0.046</c:v>
                </c:pt>
                <c:pt idx="24">
                  <c:v>0.048</c:v>
                </c:pt>
                <c:pt idx="25">
                  <c:v>0.05</c:v>
                </c:pt>
                <c:pt idx="26">
                  <c:v>0.052</c:v>
                </c:pt>
                <c:pt idx="27">
                  <c:v>0.054</c:v>
                </c:pt>
                <c:pt idx="28">
                  <c:v>0.056</c:v>
                </c:pt>
                <c:pt idx="29">
                  <c:v>0.058</c:v>
                </c:pt>
                <c:pt idx="30">
                  <c:v>0.06</c:v>
                </c:pt>
                <c:pt idx="31">
                  <c:v>0.062</c:v>
                </c:pt>
                <c:pt idx="32">
                  <c:v>0.064</c:v>
                </c:pt>
                <c:pt idx="33">
                  <c:v>0.066</c:v>
                </c:pt>
                <c:pt idx="34">
                  <c:v>0.068</c:v>
                </c:pt>
                <c:pt idx="35">
                  <c:v>0.07</c:v>
                </c:pt>
                <c:pt idx="36">
                  <c:v>0.072</c:v>
                </c:pt>
                <c:pt idx="37">
                  <c:v>0.074</c:v>
                </c:pt>
                <c:pt idx="38">
                  <c:v>0.076</c:v>
                </c:pt>
                <c:pt idx="39">
                  <c:v>0.078</c:v>
                </c:pt>
                <c:pt idx="40">
                  <c:v>0.08</c:v>
                </c:pt>
                <c:pt idx="41">
                  <c:v>0.082</c:v>
                </c:pt>
                <c:pt idx="42">
                  <c:v>0.084</c:v>
                </c:pt>
                <c:pt idx="43">
                  <c:v>0.086</c:v>
                </c:pt>
                <c:pt idx="44">
                  <c:v>0.088</c:v>
                </c:pt>
                <c:pt idx="45">
                  <c:v>0.09</c:v>
                </c:pt>
              </c:numCache>
            </c:numRef>
          </c:xVal>
          <c:yVal>
            <c:numRef>
              <c:f>Frontier!$N$3:$N$48</c:f>
              <c:numCache>
                <c:formatCode>General</c:formatCode>
                <c:ptCount val="46"/>
                <c:pt idx="0">
                  <c:v>0.05</c:v>
                </c:pt>
                <c:pt idx="1">
                  <c:v>0.0729860062098983</c:v>
                </c:pt>
                <c:pt idx="2">
                  <c:v>0.0825071217268303</c:v>
                </c:pt>
                <c:pt idx="3">
                  <c:v>0.0898129306186375</c:v>
                </c:pt>
                <c:pt idx="4">
                  <c:v>0.0959720124197965</c:v>
                </c:pt>
                <c:pt idx="5">
                  <c:v>0.101398272416565</c:v>
                </c:pt>
                <c:pt idx="6">
                  <c:v>0.106303986438696</c:v>
                </c:pt>
                <c:pt idx="7">
                  <c:v>0.110815256065977</c:v>
                </c:pt>
                <c:pt idx="8">
                  <c:v>0.115014243453661</c:v>
                </c:pt>
                <c:pt idx="9">
                  <c:v>0.118958018629695</c:v>
                </c:pt>
                <c:pt idx="10">
                  <c:v>0.122688133934053</c:v>
                </c:pt>
                <c:pt idx="11">
                  <c:v>0.126235958027012</c:v>
                </c:pt>
                <c:pt idx="12">
                  <c:v>0.129625861237275</c:v>
                </c:pt>
                <c:pt idx="13">
                  <c:v>0.132877224007922</c:v>
                </c:pt>
                <c:pt idx="14">
                  <c:v>0.136005759927698</c:v>
                </c:pt>
                <c:pt idx="15">
                  <c:v>0.139024419246756</c:v>
                </c:pt>
                <c:pt idx="16">
                  <c:v>0.141944024839593</c:v>
                </c:pt>
                <c:pt idx="17">
                  <c:v>0.144773731514514</c:v>
                </c:pt>
                <c:pt idx="18">
                  <c:v>0.147521365180491</c:v>
                </c:pt>
                <c:pt idx="19">
                  <c:v>0.150193678184545</c:v>
                </c:pt>
                <c:pt idx="20">
                  <c:v>0.15279654483313</c:v>
                </c:pt>
                <c:pt idx="21">
                  <c:v>0.155335113381584</c:v>
                </c:pt>
                <c:pt idx="22">
                  <c:v>0.157813925782306</c:v>
                </c:pt>
                <c:pt idx="23">
                  <c:v>0.160237013176492</c:v>
                </c:pt>
                <c:pt idx="24">
                  <c:v>0.162607972877392</c:v>
                </c:pt>
                <c:pt idx="25">
                  <c:v>0.164930031049491</c:v>
                </c:pt>
                <c:pt idx="26">
                  <c:v>0.167206094203836</c:v>
                </c:pt>
                <c:pt idx="27">
                  <c:v>0.169438791855913</c:v>
                </c:pt>
                <c:pt idx="28">
                  <c:v>0.171630512131954</c:v>
                </c:pt>
                <c:pt idx="29">
                  <c:v>0.173783431698119</c:v>
                </c:pt>
                <c:pt idx="30">
                  <c:v>0.175899541081151</c:v>
                </c:pt>
                <c:pt idx="31">
                  <c:v>0.177980666219261</c:v>
                </c:pt>
                <c:pt idx="32">
                  <c:v>0.180028486907321</c:v>
                </c:pt>
                <c:pt idx="33">
                  <c:v>0.182044552666473</c:v>
                </c:pt>
                <c:pt idx="34">
                  <c:v>0.184030296464532</c:v>
                </c:pt>
                <c:pt idx="35">
                  <c:v>0.185987046632581</c:v>
                </c:pt>
                <c:pt idx="36">
                  <c:v>0.18791603725939</c:v>
                </c:pt>
                <c:pt idx="37">
                  <c:v>0.189818417294771</c:v>
                </c:pt>
                <c:pt idx="38">
                  <c:v>0.191695258552629</c:v>
                </c:pt>
                <c:pt idx="39">
                  <c:v>0.193547562771988</c:v>
                </c:pt>
                <c:pt idx="40">
                  <c:v>0.195376267868106</c:v>
                </c:pt>
                <c:pt idx="41">
                  <c:v>0.197182253484382</c:v>
                </c:pt>
                <c:pt idx="42">
                  <c:v>0.198966345938344</c:v>
                </c:pt>
                <c:pt idx="43">
                  <c:v>0.200729322640632</c:v>
                </c:pt>
                <c:pt idx="44">
                  <c:v>0.202471916054024</c:v>
                </c:pt>
                <c:pt idx="45">
                  <c:v>0.204194817249694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"Ray rf→p (slope (μp−rf)/σp²)"</c:f>
              <c:strCache>
                <c:ptCount val="1"/>
                <c:pt idx="0">
                  <c:v>Ray rf→p (slope (μp−rf)/σp²)</c:v>
                </c:pt>
              </c:strCache>
            </c:strRef>
          </c:tx>
          <c:spPr>
            <a:solidFill>
              <a:srgbClr val="c00000"/>
            </a:solidFill>
            <a:ln w="1512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Frontier!$M$3:$M$48</c:f>
              <c:numCache>
                <c:formatCode>General</c:formatCode>
                <c:ptCount val="46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  <c:pt idx="22">
                  <c:v>0.044</c:v>
                </c:pt>
                <c:pt idx="23">
                  <c:v>0.046</c:v>
                </c:pt>
                <c:pt idx="24">
                  <c:v>0.048</c:v>
                </c:pt>
                <c:pt idx="25">
                  <c:v>0.05</c:v>
                </c:pt>
                <c:pt idx="26">
                  <c:v>0.052</c:v>
                </c:pt>
                <c:pt idx="27">
                  <c:v>0.054</c:v>
                </c:pt>
                <c:pt idx="28">
                  <c:v>0.056</c:v>
                </c:pt>
                <c:pt idx="29">
                  <c:v>0.058</c:v>
                </c:pt>
                <c:pt idx="30">
                  <c:v>0.06</c:v>
                </c:pt>
                <c:pt idx="31">
                  <c:v>0.062</c:v>
                </c:pt>
                <c:pt idx="32">
                  <c:v>0.064</c:v>
                </c:pt>
                <c:pt idx="33">
                  <c:v>0.066</c:v>
                </c:pt>
                <c:pt idx="34">
                  <c:v>0.068</c:v>
                </c:pt>
                <c:pt idx="35">
                  <c:v>0.07</c:v>
                </c:pt>
                <c:pt idx="36">
                  <c:v>0.072</c:v>
                </c:pt>
                <c:pt idx="37">
                  <c:v>0.074</c:v>
                </c:pt>
                <c:pt idx="38">
                  <c:v>0.076</c:v>
                </c:pt>
                <c:pt idx="39">
                  <c:v>0.078</c:v>
                </c:pt>
                <c:pt idx="40">
                  <c:v>0.08</c:v>
                </c:pt>
                <c:pt idx="41">
                  <c:v>0.082</c:v>
                </c:pt>
                <c:pt idx="42">
                  <c:v>0.084</c:v>
                </c:pt>
                <c:pt idx="43">
                  <c:v>0.086</c:v>
                </c:pt>
                <c:pt idx="44">
                  <c:v>0.088</c:v>
                </c:pt>
                <c:pt idx="45">
                  <c:v>0.09</c:v>
                </c:pt>
              </c:numCache>
            </c:numRef>
          </c:xVal>
          <c:yVal>
            <c:numRef>
              <c:f>Frontier!$P$3:$P$48</c:f>
              <c:numCache>
                <c:formatCode>General</c:formatCode>
                <c:ptCount val="46"/>
                <c:pt idx="0">
                  <c:v>0.05</c:v>
                </c:pt>
                <c:pt idx="1">
                  <c:v>0.0573726851851852</c:v>
                </c:pt>
                <c:pt idx="2">
                  <c:v>0.0647453703703704</c:v>
                </c:pt>
                <c:pt idx="3">
                  <c:v>0.0721180555555556</c:v>
                </c:pt>
                <c:pt idx="4">
                  <c:v>0.0794907407407408</c:v>
                </c:pt>
                <c:pt idx="5">
                  <c:v>0.0868634259259259</c:v>
                </c:pt>
                <c:pt idx="6">
                  <c:v>0.0942361111111111</c:v>
                </c:pt>
                <c:pt idx="7">
                  <c:v>0.101608796296296</c:v>
                </c:pt>
                <c:pt idx="8">
                  <c:v>0.108981481481481</c:v>
                </c:pt>
                <c:pt idx="9">
                  <c:v>0.116354166666667</c:v>
                </c:pt>
                <c:pt idx="10">
                  <c:v>0.123726851851852</c:v>
                </c:pt>
                <c:pt idx="11">
                  <c:v>0.131099537037037</c:v>
                </c:pt>
                <c:pt idx="12">
                  <c:v>0.138472222222222</c:v>
                </c:pt>
                <c:pt idx="13">
                  <c:v>0.145844907407407</c:v>
                </c:pt>
                <c:pt idx="14">
                  <c:v>0.153217592592593</c:v>
                </c:pt>
                <c:pt idx="15">
                  <c:v>0.160590277777778</c:v>
                </c:pt>
                <c:pt idx="16">
                  <c:v>0.167962962962963</c:v>
                </c:pt>
                <c:pt idx="17">
                  <c:v>0.175335648148148</c:v>
                </c:pt>
                <c:pt idx="18">
                  <c:v>0.182708333333333</c:v>
                </c:pt>
                <c:pt idx="19">
                  <c:v>0.190081018518519</c:v>
                </c:pt>
                <c:pt idx="20">
                  <c:v>0.197453703703704</c:v>
                </c:pt>
                <c:pt idx="21">
                  <c:v>0.204826388888889</c:v>
                </c:pt>
                <c:pt idx="22">
                  <c:v>0.212199074074074</c:v>
                </c:pt>
                <c:pt idx="23">
                  <c:v>0.219571759259259</c:v>
                </c:pt>
                <c:pt idx="24">
                  <c:v>0.226944444444444</c:v>
                </c:pt>
                <c:pt idx="25">
                  <c:v>0.23431712962963</c:v>
                </c:pt>
                <c:pt idx="26">
                  <c:v>0.241689814814815</c:v>
                </c:pt>
                <c:pt idx="27">
                  <c:v>0.2490625</c:v>
                </c:pt>
                <c:pt idx="28">
                  <c:v>0.256435185185185</c:v>
                </c:pt>
                <c:pt idx="29">
                  <c:v>0.26380787037037</c:v>
                </c:pt>
                <c:pt idx="30">
                  <c:v>0.271180555555556</c:v>
                </c:pt>
                <c:pt idx="31">
                  <c:v>0.278553240740741</c:v>
                </c:pt>
                <c:pt idx="32">
                  <c:v>0.285925925925926</c:v>
                </c:pt>
                <c:pt idx="33">
                  <c:v>0.293298611111111</c:v>
                </c:pt>
                <c:pt idx="34">
                  <c:v>0.300671296296296</c:v>
                </c:pt>
                <c:pt idx="35">
                  <c:v>0.308043981481482</c:v>
                </c:pt>
                <c:pt idx="36">
                  <c:v>0.315416666666667</c:v>
                </c:pt>
                <c:pt idx="37">
                  <c:v>0.322789351851852</c:v>
                </c:pt>
                <c:pt idx="38">
                  <c:v>0.330162037037037</c:v>
                </c:pt>
                <c:pt idx="39">
                  <c:v>0.337534722222222</c:v>
                </c:pt>
                <c:pt idx="40">
                  <c:v>0.344907407407407</c:v>
                </c:pt>
                <c:pt idx="41">
                  <c:v>0.352280092592593</c:v>
                </c:pt>
                <c:pt idx="42">
                  <c:v>0.359652777777778</c:v>
                </c:pt>
                <c:pt idx="43">
                  <c:v>0.367025462962963</c:v>
                </c:pt>
                <c:pt idx="44">
                  <c:v>0.374398148148148</c:v>
                </c:pt>
                <c:pt idx="45">
                  <c:v>0.381770833333333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"Tangent at p (slope (μp−rf)/(2σp²))"</c:f>
              <c:strCache>
                <c:ptCount val="1"/>
                <c:pt idx="0">
                  <c:v>Tangent at p (slope (μp−rf)/(2σp²))</c:v>
                </c:pt>
              </c:strCache>
            </c:strRef>
          </c:tx>
          <c:spPr>
            <a:solidFill>
              <a:srgbClr val="00b050"/>
            </a:solidFill>
            <a:ln w="15120">
              <a:solidFill>
                <a:srgbClr val="00b05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Frontier!$M$3:$M$48</c:f>
              <c:numCache>
                <c:formatCode>General</c:formatCode>
                <c:ptCount val="46"/>
                <c:pt idx="0">
                  <c:v>0</c:v>
                </c:pt>
                <c:pt idx="1">
                  <c:v>0.002</c:v>
                </c:pt>
                <c:pt idx="2">
                  <c:v>0.004</c:v>
                </c:pt>
                <c:pt idx="3">
                  <c:v>0.006</c:v>
                </c:pt>
                <c:pt idx="4">
                  <c:v>0.008</c:v>
                </c:pt>
                <c:pt idx="5">
                  <c:v>0.01</c:v>
                </c:pt>
                <c:pt idx="6">
                  <c:v>0.012</c:v>
                </c:pt>
                <c:pt idx="7">
                  <c:v>0.014</c:v>
                </c:pt>
                <c:pt idx="8">
                  <c:v>0.016</c:v>
                </c:pt>
                <c:pt idx="9">
                  <c:v>0.018</c:v>
                </c:pt>
                <c:pt idx="10">
                  <c:v>0.02</c:v>
                </c:pt>
                <c:pt idx="11">
                  <c:v>0.022</c:v>
                </c:pt>
                <c:pt idx="12">
                  <c:v>0.024</c:v>
                </c:pt>
                <c:pt idx="13">
                  <c:v>0.026</c:v>
                </c:pt>
                <c:pt idx="14">
                  <c:v>0.028</c:v>
                </c:pt>
                <c:pt idx="15">
                  <c:v>0.03</c:v>
                </c:pt>
                <c:pt idx="16">
                  <c:v>0.032</c:v>
                </c:pt>
                <c:pt idx="17">
                  <c:v>0.034</c:v>
                </c:pt>
                <c:pt idx="18">
                  <c:v>0.036</c:v>
                </c:pt>
                <c:pt idx="19">
                  <c:v>0.038</c:v>
                </c:pt>
                <c:pt idx="20">
                  <c:v>0.04</c:v>
                </c:pt>
                <c:pt idx="21">
                  <c:v>0.042</c:v>
                </c:pt>
                <c:pt idx="22">
                  <c:v>0.044</c:v>
                </c:pt>
                <c:pt idx="23">
                  <c:v>0.046</c:v>
                </c:pt>
                <c:pt idx="24">
                  <c:v>0.048</c:v>
                </c:pt>
                <c:pt idx="25">
                  <c:v>0.05</c:v>
                </c:pt>
                <c:pt idx="26">
                  <c:v>0.052</c:v>
                </c:pt>
                <c:pt idx="27">
                  <c:v>0.054</c:v>
                </c:pt>
                <c:pt idx="28">
                  <c:v>0.056</c:v>
                </c:pt>
                <c:pt idx="29">
                  <c:v>0.058</c:v>
                </c:pt>
                <c:pt idx="30">
                  <c:v>0.06</c:v>
                </c:pt>
                <c:pt idx="31">
                  <c:v>0.062</c:v>
                </c:pt>
                <c:pt idx="32">
                  <c:v>0.064</c:v>
                </c:pt>
                <c:pt idx="33">
                  <c:v>0.066</c:v>
                </c:pt>
                <c:pt idx="34">
                  <c:v>0.068</c:v>
                </c:pt>
                <c:pt idx="35">
                  <c:v>0.07</c:v>
                </c:pt>
                <c:pt idx="36">
                  <c:v>0.072</c:v>
                </c:pt>
                <c:pt idx="37">
                  <c:v>0.074</c:v>
                </c:pt>
                <c:pt idx="38">
                  <c:v>0.076</c:v>
                </c:pt>
                <c:pt idx="39">
                  <c:v>0.078</c:v>
                </c:pt>
                <c:pt idx="40">
                  <c:v>0.08</c:v>
                </c:pt>
                <c:pt idx="41">
                  <c:v>0.082</c:v>
                </c:pt>
                <c:pt idx="42">
                  <c:v>0.084</c:v>
                </c:pt>
                <c:pt idx="43">
                  <c:v>0.086</c:v>
                </c:pt>
                <c:pt idx="44">
                  <c:v>0.088</c:v>
                </c:pt>
                <c:pt idx="45">
                  <c:v>0.09</c:v>
                </c:pt>
              </c:numCache>
            </c:numRef>
          </c:xVal>
          <c:yVal>
            <c:numRef>
              <c:f>Frontier!$Q$3:$Q$48</c:f>
              <c:numCache>
                <c:formatCode>General</c:formatCode>
                <c:ptCount val="46"/>
                <c:pt idx="0">
                  <c:v>0.0858320251177394</c:v>
                </c:pt>
                <c:pt idx="1">
                  <c:v>0.089518367710332</c:v>
                </c:pt>
                <c:pt idx="2">
                  <c:v>0.0932047103029246</c:v>
                </c:pt>
                <c:pt idx="3">
                  <c:v>0.0968910528955172</c:v>
                </c:pt>
                <c:pt idx="4">
                  <c:v>0.10057739548811</c:v>
                </c:pt>
                <c:pt idx="5">
                  <c:v>0.104263738080702</c:v>
                </c:pt>
                <c:pt idx="6">
                  <c:v>0.107950080673295</c:v>
                </c:pt>
                <c:pt idx="7">
                  <c:v>0.111636423265888</c:v>
                </c:pt>
                <c:pt idx="8">
                  <c:v>0.11532276585848</c:v>
                </c:pt>
                <c:pt idx="9">
                  <c:v>0.119009108451073</c:v>
                </c:pt>
                <c:pt idx="10">
                  <c:v>0.122695451043665</c:v>
                </c:pt>
                <c:pt idx="11">
                  <c:v>0.126381793636258</c:v>
                </c:pt>
                <c:pt idx="12">
                  <c:v>0.130068136228851</c:v>
                </c:pt>
                <c:pt idx="13">
                  <c:v>0.133754478821443</c:v>
                </c:pt>
                <c:pt idx="14">
                  <c:v>0.137440821414036</c:v>
                </c:pt>
                <c:pt idx="15">
                  <c:v>0.141127164006628</c:v>
                </c:pt>
                <c:pt idx="16">
                  <c:v>0.144813506599221</c:v>
                </c:pt>
                <c:pt idx="17">
                  <c:v>0.148499849191814</c:v>
                </c:pt>
                <c:pt idx="18">
                  <c:v>0.152186191784406</c:v>
                </c:pt>
                <c:pt idx="19">
                  <c:v>0.155872534376999</c:v>
                </c:pt>
                <c:pt idx="20">
                  <c:v>0.159558876969591</c:v>
                </c:pt>
                <c:pt idx="21">
                  <c:v>0.163245219562184</c:v>
                </c:pt>
                <c:pt idx="22">
                  <c:v>0.166931562154776</c:v>
                </c:pt>
                <c:pt idx="23">
                  <c:v>0.170617904747369</c:v>
                </c:pt>
                <c:pt idx="24">
                  <c:v>0.174304247339962</c:v>
                </c:pt>
                <c:pt idx="25">
                  <c:v>0.177990589932554</c:v>
                </c:pt>
                <c:pt idx="26">
                  <c:v>0.181676932525147</c:v>
                </c:pt>
                <c:pt idx="27">
                  <c:v>0.185363275117739</c:v>
                </c:pt>
                <c:pt idx="28">
                  <c:v>0.189049617710332</c:v>
                </c:pt>
                <c:pt idx="29">
                  <c:v>0.192735960302925</c:v>
                </c:pt>
                <c:pt idx="30">
                  <c:v>0.196422302895517</c:v>
                </c:pt>
                <c:pt idx="31">
                  <c:v>0.20010864548811</c:v>
                </c:pt>
                <c:pt idx="32">
                  <c:v>0.203794988080702</c:v>
                </c:pt>
                <c:pt idx="33">
                  <c:v>0.207481330673295</c:v>
                </c:pt>
                <c:pt idx="34">
                  <c:v>0.211167673265888</c:v>
                </c:pt>
                <c:pt idx="35">
                  <c:v>0.21485401585848</c:v>
                </c:pt>
                <c:pt idx="36">
                  <c:v>0.218540358451073</c:v>
                </c:pt>
                <c:pt idx="37">
                  <c:v>0.222226701043665</c:v>
                </c:pt>
                <c:pt idx="38">
                  <c:v>0.225913043636258</c:v>
                </c:pt>
                <c:pt idx="39">
                  <c:v>0.229599386228851</c:v>
                </c:pt>
                <c:pt idx="40">
                  <c:v>0.233285728821443</c:v>
                </c:pt>
                <c:pt idx="41">
                  <c:v>0.236972071414036</c:v>
                </c:pt>
                <c:pt idx="42">
                  <c:v>0.240658414006628</c:v>
                </c:pt>
                <c:pt idx="43">
                  <c:v>0.244344756599221</c:v>
                </c:pt>
                <c:pt idx="44">
                  <c:v>0.248031099191814</c:v>
                </c:pt>
                <c:pt idx="45">
                  <c:v>0.251717441784406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"Asset 1"</c:f>
              <c:strCache>
                <c:ptCount val="1"/>
                <c:pt idx="0">
                  <c:v>Asset 1</c:v>
                </c:pt>
              </c:strCache>
            </c:strRef>
          </c:tx>
          <c:spPr>
            <a:solidFill>
              <a:srgbClr val="70ad47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Frontier!$Y$3</c:f>
              <c:numCache>
                <c:formatCode>General</c:formatCode>
                <c:ptCount val="1"/>
                <c:pt idx="0">
                  <c:v>0.0225</c:v>
                </c:pt>
              </c:numCache>
            </c:numRef>
          </c:xVal>
          <c:yVal>
            <c:numRef>
              <c:f>Frontier!$Z$3</c:f>
              <c:numCache>
                <c:formatCode>0.000000</c:formatCode>
                <c:ptCount val="1"/>
                <c:pt idx="0">
                  <c:v>0.1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"Asset 2"</c:f>
              <c:strCache>
                <c:ptCount val="1"/>
                <c:pt idx="0">
                  <c:v>Asset 2</c:v>
                </c:pt>
              </c:strCache>
            </c:strRef>
          </c:tx>
          <c:spPr>
            <a:solidFill>
              <a:srgbClr val="7030a0"/>
            </a:solidFill>
            <a:ln w="47520">
              <a:noFill/>
            </a:ln>
          </c:spPr>
          <c:marker>
            <c:symbol val="square"/>
            <c:size val="9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Frontier!$Y$4</c:f>
              <c:numCache>
                <c:formatCode>General</c:formatCode>
                <c:ptCount val="1"/>
                <c:pt idx="0">
                  <c:v>0.04</c:v>
                </c:pt>
              </c:numCache>
            </c:numRef>
          </c:xVal>
          <c:yVal>
            <c:numRef>
              <c:f>Frontier!$Z$4</c:f>
              <c:numCache>
                <c:formatCode>0.000000</c:formatCode>
                <c:ptCount val="1"/>
                <c:pt idx="0">
                  <c:v>0.14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"Tangency p"</c:f>
              <c:strCache>
                <c:ptCount val="1"/>
                <c:pt idx="0">
                  <c:v>Tangency p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diamond"/>
            <c:size val="11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Frontier!$Y$5</c:f>
              <c:numCache>
                <c:formatCode>General</c:formatCode>
                <c:ptCount val="1"/>
                <c:pt idx="0">
                  <c:v>0.0194404205348363</c:v>
                </c:pt>
              </c:numCache>
            </c:numRef>
          </c:xVal>
          <c:yVal>
            <c:numRef>
              <c:f>Frontier!$Z$5</c:f>
              <c:numCache>
                <c:formatCode>0.000000</c:formatCode>
                <c:ptCount val="1"/>
                <c:pt idx="0">
                  <c:v>0.121664050235479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"Risk-free"</c:f>
              <c:strCache>
                <c:ptCount val="1"/>
                <c:pt idx="0">
                  <c:v>Risk-free</c:v>
                </c:pt>
              </c:strCache>
            </c:strRef>
          </c:tx>
          <c:spPr>
            <a:solidFill>
              <a:srgbClr val="0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Frontier!$Z$6</c:f>
              <c:numCache>
                <c:formatCode>0.000000</c:formatCode>
                <c:ptCount val="1"/>
                <c:pt idx="0">
                  <c:v>0.05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"GMV"</c:f>
              <c:strCache>
                <c:ptCount val="1"/>
                <c:pt idx="0">
                  <c:v>GMV</c:v>
                </c:pt>
              </c:strCache>
            </c:strRef>
          </c:tx>
          <c:spPr>
            <a:solidFill>
              <a:srgbClr val="808080"/>
            </a:solidFill>
            <a:ln w="47520">
              <a:noFill/>
            </a:ln>
          </c:spPr>
          <c:marker>
            <c:symbol val="triangle"/>
            <c:size val="9"/>
            <c:spPr>
              <a:solidFill>
                <a:srgbClr val="80808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Frontier!$Y$7</c:f>
              <c:numCache>
                <c:formatCode>General</c:formatCode>
                <c:ptCount val="1"/>
                <c:pt idx="0">
                  <c:v>0.0171089108910891</c:v>
                </c:pt>
              </c:numCache>
            </c:numRef>
          </c:xVal>
          <c:yVal>
            <c:numRef>
              <c:f>Frontier!$Z$7</c:f>
              <c:numCache>
                <c:formatCode>0.000000</c:formatCode>
                <c:ptCount val="1"/>
                <c:pt idx="0">
                  <c:v>0.113069306930693</c:v>
                </c:pt>
              </c:numCache>
            </c:numRef>
          </c:yVal>
          <c:smooth val="1"/>
        </c:ser>
        <c:axId val="45238890"/>
        <c:axId val="10281739"/>
      </c:scatterChart>
      <c:valAx>
        <c:axId val="45238890"/>
        <c:scaling>
          <c:orientation val="minMax"/>
          <c:max val="0.06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Variance σ²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81739"/>
        <c:crosses val="autoZero"/>
        <c:crossBetween val="midCat"/>
      </c:valAx>
      <c:valAx>
        <c:axId val="10281739"/>
        <c:scaling>
          <c:orientation val="minMax"/>
          <c:max val="0.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Expected return 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3889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14</xdr:col>
      <xdr:colOff>78480</xdr:colOff>
      <xdr:row>27</xdr:row>
      <xdr:rowOff>78120</xdr:rowOff>
    </xdr:to>
    <xdr:graphicFrame>
      <xdr:nvGraphicFramePr>
        <xdr:cNvPr id="0" name="Chart 1"/>
        <xdr:cNvGraphicFramePr/>
      </xdr:nvGraphicFramePr>
      <xdr:xfrm>
        <a:off x="0" y="57168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29</xdr:row>
      <xdr:rowOff>160560</xdr:rowOff>
    </xdr:from>
    <xdr:to>
      <xdr:col>14</xdr:col>
      <xdr:colOff>78480</xdr:colOff>
      <xdr:row>54</xdr:row>
      <xdr:rowOff>77760</xdr:rowOff>
    </xdr:to>
    <xdr:graphicFrame>
      <xdr:nvGraphicFramePr>
        <xdr:cNvPr id="1" name="Chart 2"/>
        <xdr:cNvGraphicFramePr/>
      </xdr:nvGraphicFramePr>
      <xdr:xfrm>
        <a:off x="0" y="571500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56</xdr:row>
      <xdr:rowOff>160920</xdr:rowOff>
    </xdr:from>
    <xdr:to>
      <xdr:col>14</xdr:col>
      <xdr:colOff>78480</xdr:colOff>
      <xdr:row>81</xdr:row>
      <xdr:rowOff>78120</xdr:rowOff>
    </xdr:to>
    <xdr:graphicFrame>
      <xdr:nvGraphicFramePr>
        <xdr:cNvPr id="2" name="Chart 3"/>
        <xdr:cNvGraphicFramePr/>
      </xdr:nvGraphicFramePr>
      <xdr:xfrm>
        <a:off x="0" y="1085868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C2" s="2" t="n">
        <f aca="false">Parameters!$B$15</f>
        <v>0.45839874411303</v>
      </c>
      <c r="D2" s="3" t="s">
        <v>2</v>
      </c>
      <c r="E2" s="2" t="n">
        <f aca="false">Parameters!$B$16</f>
        <v>0.54160125588697</v>
      </c>
      <c r="F2" s="3" t="s">
        <v>3</v>
      </c>
      <c r="G2" s="2" t="n">
        <f aca="false">Parameters!$B$17</f>
        <v>0.121664050235479</v>
      </c>
      <c r="H2" s="3" t="s">
        <v>4</v>
      </c>
      <c r="I2" s="2" t="n">
        <f aca="false">Parameters!$B$19</f>
        <v>0.139428908533476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5</v>
      </c>
    </row>
    <row r="3" customFormat="false" ht="15" hidden="false" customHeight="false" outlineLevel="0" collapsed="false">
      <c r="A3" s="4" t="s">
        <v>6</v>
      </c>
    </row>
    <row r="4" customFormat="false" ht="15" hidden="false" customHeight="false" outlineLevel="0" collapsed="false">
      <c r="A4" s="0" t="s">
        <v>7</v>
      </c>
      <c r="B4" s="5" t="n">
        <v>0.1</v>
      </c>
    </row>
    <row r="5" customFormat="false" ht="15" hidden="false" customHeight="false" outlineLevel="0" collapsed="false">
      <c r="A5" s="0" t="s">
        <v>8</v>
      </c>
      <c r="B5" s="5" t="n">
        <v>0.14</v>
      </c>
    </row>
    <row r="6" customFormat="false" ht="15" hidden="false" customHeight="false" outlineLevel="0" collapsed="false">
      <c r="A6" s="0" t="s">
        <v>9</v>
      </c>
      <c r="B6" s="5" t="n">
        <v>0.15</v>
      </c>
    </row>
    <row r="7" customFormat="false" ht="15" hidden="false" customHeight="false" outlineLevel="0" collapsed="false">
      <c r="A7" s="0" t="s">
        <v>10</v>
      </c>
      <c r="B7" s="5" t="n">
        <v>0.2</v>
      </c>
    </row>
    <row r="8" customFormat="false" ht="15" hidden="false" customHeight="false" outlineLevel="0" collapsed="false">
      <c r="A8" s="0" t="s">
        <v>11</v>
      </c>
      <c r="B8" s="5" t="n">
        <v>0.2</v>
      </c>
    </row>
    <row r="9" customFormat="false" ht="15" hidden="false" customHeight="false" outlineLevel="0" collapsed="false">
      <c r="A9" s="0" t="s">
        <v>12</v>
      </c>
      <c r="B9" s="5" t="n">
        <v>0.05</v>
      </c>
      <c r="C9" s="3" t="s">
        <v>13</v>
      </c>
    </row>
    <row r="11" customFormat="false" ht="15" hidden="false" customHeight="false" outlineLevel="0" collapsed="false">
      <c r="A11" s="4" t="s">
        <v>14</v>
      </c>
    </row>
    <row r="12" customFormat="false" ht="15" hidden="false" customHeight="false" outlineLevel="0" collapsed="false">
      <c r="A12" s="0" t="s">
        <v>15</v>
      </c>
      <c r="B12" s="6" t="n">
        <f aca="false">B8*B6*B7</f>
        <v>0.006</v>
      </c>
    </row>
    <row r="13" customFormat="false" ht="15" hidden="false" customHeight="false" outlineLevel="0" collapsed="false">
      <c r="A13" s="0" t="s">
        <v>16</v>
      </c>
      <c r="B13" s="6" t="n">
        <f aca="false">B4-B9</f>
        <v>0.05</v>
      </c>
    </row>
    <row r="14" customFormat="false" ht="15" hidden="false" customHeight="false" outlineLevel="0" collapsed="false">
      <c r="A14" s="0" t="s">
        <v>17</v>
      </c>
      <c r="B14" s="6" t="n">
        <f aca="false">B5-B9</f>
        <v>0.09</v>
      </c>
    </row>
    <row r="15" customFormat="false" ht="15" hidden="false" customHeight="false" outlineLevel="0" collapsed="false">
      <c r="A15" s="0" t="s">
        <v>18</v>
      </c>
      <c r="B15" s="6" t="n">
        <f aca="false">(B13*B7^2-B14*B12)/(B13*B7^2+B14*B6^2-(B13+B14)*B12)</f>
        <v>0.45839874411303</v>
      </c>
    </row>
    <row r="16" customFormat="false" ht="15" hidden="false" customHeight="false" outlineLevel="0" collapsed="false">
      <c r="A16" s="0" t="s">
        <v>19</v>
      </c>
      <c r="B16" s="6" t="n">
        <f aca="false">1-B15</f>
        <v>0.54160125588697</v>
      </c>
    </row>
    <row r="17" customFormat="false" ht="15" hidden="false" customHeight="false" outlineLevel="0" collapsed="false">
      <c r="A17" s="0" t="s">
        <v>20</v>
      </c>
      <c r="B17" s="6" t="n">
        <f aca="false">B15*B4+B16*B5</f>
        <v>0.121664050235479</v>
      </c>
    </row>
    <row r="18" customFormat="false" ht="15" hidden="false" customHeight="false" outlineLevel="0" collapsed="false">
      <c r="A18" s="0" t="s">
        <v>21</v>
      </c>
      <c r="B18" s="6" t="n">
        <f aca="false">B15^2*B6^2+B16^2*B7^2+2*B15*B16*B12</f>
        <v>0.0194404205348363</v>
      </c>
    </row>
    <row r="19" customFormat="false" ht="15" hidden="false" customHeight="false" outlineLevel="0" collapsed="false">
      <c r="A19" s="0" t="s">
        <v>22</v>
      </c>
      <c r="B19" s="6" t="n">
        <f aca="false">SQRT(B18)</f>
        <v>0.139428908533476</v>
      </c>
    </row>
    <row r="20" customFormat="false" ht="15" hidden="false" customHeight="false" outlineLevel="0" collapsed="false">
      <c r="A20" s="0" t="s">
        <v>23</v>
      </c>
      <c r="B20" s="6" t="n">
        <f aca="false">(B17-B9)/B19</f>
        <v>0.513982724165648</v>
      </c>
    </row>
    <row r="21" customFormat="false" ht="15" hidden="false" customHeight="false" outlineLevel="0" collapsed="false">
      <c r="B21" s="6"/>
    </row>
    <row r="22" customFormat="false" ht="15" hidden="false" customHeight="false" outlineLevel="0" collapsed="false">
      <c r="A22" s="0" t="s">
        <v>24</v>
      </c>
      <c r="B22" s="6" t="n">
        <f aca="false">(B7^2-B12)/(B6^2+B7^2-2*B12)</f>
        <v>0.673267326732673</v>
      </c>
    </row>
    <row r="23" customFormat="false" ht="15" hidden="false" customHeight="false" outlineLevel="0" collapsed="false">
      <c r="A23" s="0" t="s">
        <v>25</v>
      </c>
      <c r="B23" s="6" t="n">
        <f aca="false">B22*B4+(1-B22)*B5</f>
        <v>0.113069306930693</v>
      </c>
    </row>
    <row r="24" customFormat="false" ht="15" hidden="false" customHeight="false" outlineLevel="0" collapsed="false">
      <c r="A24" s="0" t="s">
        <v>26</v>
      </c>
      <c r="B24" s="6" t="n">
        <f aca="false">B22^2*B6^2+(1-B22)^2*B7^2+2*B22*(1-B22)*B12</f>
        <v>0.0171089108910891</v>
      </c>
    </row>
    <row r="25" customFormat="false" ht="15" hidden="false" customHeight="false" outlineLevel="0" collapsed="false">
      <c r="A25" s="0" t="s">
        <v>27</v>
      </c>
      <c r="B25" s="6" t="n">
        <f aca="false">SQRT(B24)</f>
        <v>0.130801035512297</v>
      </c>
    </row>
    <row r="26" customFormat="false" ht="15" hidden="false" customHeight="false" outlineLevel="0" collapsed="false">
      <c r="A26" s="0" t="s">
        <v>28</v>
      </c>
      <c r="B26" s="6" t="n">
        <f aca="false">(B6^2+B7^2-2*B12)/(B5-B4)^2</f>
        <v>31.5625</v>
      </c>
    </row>
    <row r="27" customFormat="false" ht="15" hidden="false" customHeight="false" outlineLevel="0" collapsed="false">
      <c r="A27" s="0" t="s">
        <v>29</v>
      </c>
      <c r="B27" s="0" t="s">
        <v>30</v>
      </c>
    </row>
    <row r="28" customFormat="false" ht="15" hidden="false" customHeight="false" outlineLevel="0" collapsed="false">
      <c r="A28" s="0" t="s">
        <v>31</v>
      </c>
      <c r="B28" s="6" t="n">
        <f aca="false">(B17-B9)/B18</f>
        <v>3.68634259259259</v>
      </c>
    </row>
    <row r="29" customFormat="false" ht="15" hidden="false" customHeight="false" outlineLevel="0" collapsed="false">
      <c r="A29" s="0" t="s">
        <v>32</v>
      </c>
      <c r="B29" s="6" t="n">
        <f aca="false">(B17-B9)/(2*B18)</f>
        <v>1.8431712962963</v>
      </c>
    </row>
    <row r="30" customFormat="false" ht="15" hidden="false" customHeight="false" outlineLevel="0" collapsed="false">
      <c r="A30" s="0" t="s">
        <v>33</v>
      </c>
      <c r="B30" s="6" t="n">
        <f aca="false">B29/B28</f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  <col collapsed="false" customWidth="true" hidden="false" outlineLevel="0" max="11" min="9" style="0" width="13"/>
    <col collapsed="false" customWidth="true" hidden="false" outlineLevel="0" max="17" min="13" style="0" width="13"/>
    <col collapsed="false" customWidth="true" hidden="false" outlineLevel="0" max="21" min="19" style="0" width="13"/>
    <col collapsed="false" customWidth="true" hidden="false" outlineLevel="0" max="23" min="23" style="0" width="16"/>
    <col collapsed="false" customWidth="true" hidden="false" outlineLevel="0" max="26" min="24" style="0" width="13"/>
  </cols>
  <sheetData>
    <row r="1" customFormat="false" ht="15" hidden="false" customHeight="false" outlineLevel="0" collapsed="false">
      <c r="A1" s="4" t="s">
        <v>34</v>
      </c>
      <c r="I1" s="4" t="s">
        <v>35</v>
      </c>
      <c r="M1" s="4" t="s">
        <v>36</v>
      </c>
      <c r="S1" s="4" t="s">
        <v>37</v>
      </c>
      <c r="W1" s="4" t="s">
        <v>38</v>
      </c>
    </row>
    <row r="2" customFormat="false" ht="28.35" hidden="false" customHeight="false" outlineLevel="0" collapsed="false">
      <c r="A2" s="7" t="s">
        <v>39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I2" s="8" t="s">
        <v>42</v>
      </c>
      <c r="J2" s="8" t="s">
        <v>46</v>
      </c>
      <c r="K2" s="8" t="s">
        <v>47</v>
      </c>
      <c r="M2" s="8" t="s">
        <v>48</v>
      </c>
      <c r="N2" s="8" t="s">
        <v>49</v>
      </c>
      <c r="O2" s="8" t="s">
        <v>50</v>
      </c>
      <c r="P2" s="8" t="s">
        <v>51</v>
      </c>
      <c r="Q2" s="8" t="s">
        <v>52</v>
      </c>
      <c r="S2" s="8" t="s">
        <v>41</v>
      </c>
      <c r="T2" s="8" t="s">
        <v>53</v>
      </c>
      <c r="U2" s="8" t="s">
        <v>42</v>
      </c>
      <c r="W2" s="8" t="s">
        <v>54</v>
      </c>
      <c r="X2" s="8" t="s">
        <v>55</v>
      </c>
      <c r="Y2" s="8" t="s">
        <v>56</v>
      </c>
      <c r="Z2" s="8" t="s">
        <v>57</v>
      </c>
    </row>
    <row r="3" customFormat="false" ht="15" hidden="false" customHeight="false" outlineLevel="0" collapsed="false">
      <c r="A3" s="0" t="n">
        <v>-0.5</v>
      </c>
      <c r="B3" s="0" t="n">
        <f aca="false">1-A3</f>
        <v>1.5</v>
      </c>
      <c r="C3" s="0" t="n">
        <f aca="false">A3*Parameters!$B$4+B3*Parameters!$B$5</f>
        <v>0.16</v>
      </c>
      <c r="D3" s="0" t="n">
        <f aca="false">SQRT(E3)</f>
        <v>0.294321253055229</v>
      </c>
      <c r="E3" s="0" t="n">
        <f aca="false">A3^2*Parameters!$B$6^2+B3^2*Parameters!$B$7^2+2*A3*B3*Parameters!$B$12</f>
        <v>0.086625</v>
      </c>
      <c r="F3" s="0" t="n">
        <f aca="false">Parameters!$B$24+Parameters!$B$26*(C3-Parameters!$B$23)^2</f>
        <v>0.0866250000000001</v>
      </c>
      <c r="G3" s="9" t="n">
        <f aca="false">E3-F3</f>
        <v>0</v>
      </c>
      <c r="I3" s="0" t="n">
        <v>0</v>
      </c>
      <c r="J3" s="3" t="n">
        <f aca="false">Parameters!$B$9+Parameters!$B$20*I3</f>
        <v>0.05</v>
      </c>
      <c r="K3" s="3" t="n">
        <f aca="false">Parameters!$B$9-Parameters!$B$20*I3</f>
        <v>0.05</v>
      </c>
      <c r="M3" s="0" t="n">
        <v>0</v>
      </c>
      <c r="N3" s="3" t="n">
        <f aca="false">Parameters!$B$9+Parameters!$B$20*SQRT(M3)</f>
        <v>0.05</v>
      </c>
      <c r="O3" s="3" t="n">
        <f aca="false">Parameters!$B$9-Parameters!$B$20*SQRT(M3)</f>
        <v>0.05</v>
      </c>
      <c r="P3" s="3" t="n">
        <f aca="false">Parameters!$B$9+Parameters!$B$28*M3</f>
        <v>0.05</v>
      </c>
      <c r="Q3" s="3" t="n">
        <f aca="false">Parameters!$B$17+Parameters!$B$29*(M3-Parameters!$B$18)</f>
        <v>0.0858320251177394</v>
      </c>
      <c r="S3" s="0" t="n">
        <v>0.08</v>
      </c>
      <c r="T3" s="3" t="n">
        <f aca="false">Parameters!$B$24+Parameters!$B$26*(S3-Parameters!$B$23)^2</f>
        <v>0.051625</v>
      </c>
      <c r="U3" s="3" t="n">
        <f aca="false">SQRT(T3)</f>
        <v>0.227211355350035</v>
      </c>
      <c r="W3" s="3" t="s">
        <v>58</v>
      </c>
      <c r="X3" s="6" t="n">
        <f aca="false">Parameters!$B$6</f>
        <v>0.15</v>
      </c>
      <c r="Y3" s="3" t="n">
        <f aca="false">X3^2</f>
        <v>0.0225</v>
      </c>
      <c r="Z3" s="6" t="n">
        <f aca="false">Parameters!$B$4</f>
        <v>0.1</v>
      </c>
    </row>
    <row r="4" customFormat="false" ht="15" hidden="false" customHeight="false" outlineLevel="0" collapsed="false">
      <c r="A4" s="0" t="n">
        <v>-0.45</v>
      </c>
      <c r="B4" s="0" t="n">
        <f aca="false">1-A4</f>
        <v>1.45</v>
      </c>
      <c r="C4" s="0" t="n">
        <f aca="false">A4*Parameters!$B$4+B4*Parameters!$B$5</f>
        <v>0.158</v>
      </c>
      <c r="D4" s="0" t="n">
        <f aca="false">SQRT(E4)</f>
        <v>0.284299577910344</v>
      </c>
      <c r="E4" s="0" t="n">
        <f aca="false">A4^2*Parameters!$B$6^2+B4^2*Parameters!$B$7^2+2*A4*B4*Parameters!$B$12</f>
        <v>0.08082625</v>
      </c>
      <c r="F4" s="0" t="n">
        <f aca="false">Parameters!$B$24+Parameters!$B$26*(C4-Parameters!$B$23)^2</f>
        <v>0.08082625</v>
      </c>
      <c r="G4" s="9" t="n">
        <f aca="false">E4-F4</f>
        <v>0</v>
      </c>
      <c r="I4" s="0" t="n">
        <v>0.01</v>
      </c>
      <c r="J4" s="3" t="n">
        <f aca="false">Parameters!$B$9+Parameters!$B$20*I4</f>
        <v>0.0551398272416565</v>
      </c>
      <c r="K4" s="3" t="n">
        <f aca="false">Parameters!$B$9-Parameters!$B$20*I4</f>
        <v>0.0448601727583435</v>
      </c>
      <c r="M4" s="0" t="n">
        <v>0.002</v>
      </c>
      <c r="N4" s="3" t="n">
        <f aca="false">Parameters!$B$9+Parameters!$B$20*SQRT(M4)</f>
        <v>0.0729860062098983</v>
      </c>
      <c r="O4" s="3" t="n">
        <f aca="false">Parameters!$B$9-Parameters!$B$20*SQRT(M4)</f>
        <v>0.0270139937901017</v>
      </c>
      <c r="P4" s="3" t="n">
        <f aca="false">Parameters!$B$9+Parameters!$B$28*M4</f>
        <v>0.0573726851851852</v>
      </c>
      <c r="Q4" s="3" t="n">
        <f aca="false">Parameters!$B$17+Parameters!$B$29*(M4-Parameters!$B$18)</f>
        <v>0.089518367710332</v>
      </c>
      <c r="S4" s="0" t="n">
        <v>0.0825</v>
      </c>
      <c r="T4" s="3" t="n">
        <f aca="false">Parameters!$B$24+Parameters!$B$26*(S4-Parameters!$B$23)^2</f>
        <v>0.046603515625</v>
      </c>
      <c r="U4" s="3" t="n">
        <f aca="false">SQRT(T4)</f>
        <v>0.215878474204817</v>
      </c>
      <c r="W4" s="3" t="s">
        <v>59</v>
      </c>
      <c r="X4" s="6" t="n">
        <f aca="false">Parameters!$B$7</f>
        <v>0.2</v>
      </c>
      <c r="Y4" s="3" t="n">
        <f aca="false">X4^2</f>
        <v>0.04</v>
      </c>
      <c r="Z4" s="6" t="n">
        <f aca="false">Parameters!$B$5</f>
        <v>0.14</v>
      </c>
    </row>
    <row r="5" customFormat="false" ht="15" hidden="false" customHeight="false" outlineLevel="0" collapsed="false">
      <c r="A5" s="0" t="n">
        <v>-0.4</v>
      </c>
      <c r="B5" s="0" t="n">
        <f aca="false">1-A5</f>
        <v>1.4</v>
      </c>
      <c r="C5" s="0" t="n">
        <f aca="false">A5*Parameters!$B$4+B5*Parameters!$B$5</f>
        <v>0.156</v>
      </c>
      <c r="D5" s="0" t="n">
        <f aca="false">SQRT(E5)</f>
        <v>0.27437201023428</v>
      </c>
      <c r="E5" s="0" t="n">
        <f aca="false">A5^2*Parameters!$B$6^2+B5^2*Parameters!$B$7^2+2*A5*B5*Parameters!$B$12</f>
        <v>0.07528</v>
      </c>
      <c r="F5" s="0" t="n">
        <f aca="false">Parameters!$B$24+Parameters!$B$26*(C5-Parameters!$B$23)^2</f>
        <v>0.07528</v>
      </c>
      <c r="G5" s="9" t="n">
        <f aca="false">E5-F5</f>
        <v>0</v>
      </c>
      <c r="I5" s="0" t="n">
        <v>0.02</v>
      </c>
      <c r="J5" s="3" t="n">
        <f aca="false">Parameters!$B$9+Parameters!$B$20*I5</f>
        <v>0.060279654483313</v>
      </c>
      <c r="K5" s="3" t="n">
        <f aca="false">Parameters!$B$9-Parameters!$B$20*I5</f>
        <v>0.039720345516687</v>
      </c>
      <c r="M5" s="0" t="n">
        <v>0.004</v>
      </c>
      <c r="N5" s="3" t="n">
        <f aca="false">Parameters!$B$9+Parameters!$B$20*SQRT(M5)</f>
        <v>0.0825071217268303</v>
      </c>
      <c r="O5" s="3" t="n">
        <f aca="false">Parameters!$B$9-Parameters!$B$20*SQRT(M5)</f>
        <v>0.0174928782731697</v>
      </c>
      <c r="P5" s="3" t="n">
        <f aca="false">Parameters!$B$9+Parameters!$B$28*M5</f>
        <v>0.0647453703703704</v>
      </c>
      <c r="Q5" s="3" t="n">
        <f aca="false">Parameters!$B$17+Parameters!$B$29*(M5-Parameters!$B$18)</f>
        <v>0.0932047103029246</v>
      </c>
      <c r="S5" s="0" t="n">
        <v>0.085</v>
      </c>
      <c r="T5" s="3" t="n">
        <f aca="false">Parameters!$B$24+Parameters!$B$26*(S5-Parameters!$B$23)^2</f>
        <v>0.0419765625</v>
      </c>
      <c r="U5" s="3" t="n">
        <f aca="false">SQRT(T5)</f>
        <v>0.204881825694716</v>
      </c>
      <c r="W5" s="3" t="s">
        <v>60</v>
      </c>
      <c r="X5" s="6" t="n">
        <f aca="false">Parameters!$B$19</f>
        <v>0.139428908533476</v>
      </c>
      <c r="Y5" s="3" t="n">
        <f aca="false">X5^2</f>
        <v>0.0194404205348363</v>
      </c>
      <c r="Z5" s="6" t="n">
        <f aca="false">Parameters!$B$17</f>
        <v>0.121664050235479</v>
      </c>
    </row>
    <row r="6" customFormat="false" ht="15" hidden="false" customHeight="false" outlineLevel="0" collapsed="false">
      <c r="A6" s="0" t="n">
        <v>-0.35</v>
      </c>
      <c r="B6" s="0" t="n">
        <f aca="false">1-A6</f>
        <v>1.35</v>
      </c>
      <c r="C6" s="0" t="n">
        <f aca="false">A6*Parameters!$B$4+B6*Parameters!$B$5</f>
        <v>0.154</v>
      </c>
      <c r="D6" s="0" t="n">
        <f aca="false">SQRT(E6)</f>
        <v>0.264549144772763</v>
      </c>
      <c r="E6" s="0" t="n">
        <f aca="false">A6^2*Parameters!$B$6^2+B6^2*Parameters!$B$7^2+2*A6*B6*Parameters!$B$12</f>
        <v>0.06998625</v>
      </c>
      <c r="F6" s="0" t="n">
        <f aca="false">Parameters!$B$24+Parameters!$B$26*(C6-Parameters!$B$23)^2</f>
        <v>0.06998625</v>
      </c>
      <c r="G6" s="9" t="n">
        <f aca="false">E6-F6</f>
        <v>0</v>
      </c>
      <c r="I6" s="0" t="n">
        <v>0.03</v>
      </c>
      <c r="J6" s="3" t="n">
        <f aca="false">Parameters!$B$9+Parameters!$B$20*I6</f>
        <v>0.0654194817249695</v>
      </c>
      <c r="K6" s="3" t="n">
        <f aca="false">Parameters!$B$9-Parameters!$B$20*I6</f>
        <v>0.0345805182750306</v>
      </c>
      <c r="M6" s="0" t="n">
        <v>0.006</v>
      </c>
      <c r="N6" s="3" t="n">
        <f aca="false">Parameters!$B$9+Parameters!$B$20*SQRT(M6)</f>
        <v>0.0898129306186375</v>
      </c>
      <c r="O6" s="3" t="n">
        <f aca="false">Parameters!$B$9-Parameters!$B$20*SQRT(M6)</f>
        <v>0.0101870693813625</v>
      </c>
      <c r="P6" s="3" t="n">
        <f aca="false">Parameters!$B$9+Parameters!$B$28*M6</f>
        <v>0.0721180555555556</v>
      </c>
      <c r="Q6" s="3" t="n">
        <f aca="false">Parameters!$B$17+Parameters!$B$29*(M6-Parameters!$B$18)</f>
        <v>0.0968910528955172</v>
      </c>
      <c r="S6" s="0" t="n">
        <v>0.0875</v>
      </c>
      <c r="T6" s="3" t="n">
        <f aca="false">Parameters!$B$24+Parameters!$B$26*(S6-Parameters!$B$23)^2</f>
        <v>0.037744140625</v>
      </c>
      <c r="U6" s="3" t="n">
        <f aca="false">SQRT(T6)</f>
        <v>0.194278513029619</v>
      </c>
      <c r="W6" s="3" t="s">
        <v>61</v>
      </c>
      <c r="X6" s="3" t="n">
        <f aca="false">0</f>
        <v>0</v>
      </c>
      <c r="Y6" s="3" t="n">
        <f aca="false">X6^2</f>
        <v>0</v>
      </c>
      <c r="Z6" s="6" t="n">
        <f aca="false">Parameters!$B$9</f>
        <v>0.05</v>
      </c>
    </row>
    <row r="7" customFormat="false" ht="15" hidden="false" customHeight="false" outlineLevel="0" collapsed="false">
      <c r="A7" s="0" t="n">
        <v>-0.3</v>
      </c>
      <c r="B7" s="0" t="n">
        <f aca="false">1-A7</f>
        <v>1.3</v>
      </c>
      <c r="C7" s="0" t="n">
        <f aca="false">A7*Parameters!$B$4+B7*Parameters!$B$5</f>
        <v>0.152</v>
      </c>
      <c r="D7" s="0" t="n">
        <f aca="false">SQRT(E7)</f>
        <v>0.254843088978297</v>
      </c>
      <c r="E7" s="0" t="n">
        <f aca="false">A7^2*Parameters!$B$6^2+B7^2*Parameters!$B$7^2+2*A7*B7*Parameters!$B$12</f>
        <v>0.064945</v>
      </c>
      <c r="F7" s="0" t="n">
        <f aca="false">Parameters!$B$24+Parameters!$B$26*(C7-Parameters!$B$23)^2</f>
        <v>0.064945</v>
      </c>
      <c r="G7" s="9" t="n">
        <f aca="false">E7-F7</f>
        <v>0</v>
      </c>
      <c r="I7" s="0" t="n">
        <v>0.04</v>
      </c>
      <c r="J7" s="3" t="n">
        <f aca="false">Parameters!$B$9+Parameters!$B$20*I7</f>
        <v>0.0705593089666259</v>
      </c>
      <c r="K7" s="3" t="n">
        <f aca="false">Parameters!$B$9-Parameters!$B$20*I7</f>
        <v>0.0294406910333741</v>
      </c>
      <c r="M7" s="0" t="n">
        <v>0.008</v>
      </c>
      <c r="N7" s="3" t="n">
        <f aca="false">Parameters!$B$9+Parameters!$B$20*SQRT(M7)</f>
        <v>0.0959720124197965</v>
      </c>
      <c r="O7" s="3" t="n">
        <f aca="false">Parameters!$B$9-Parameters!$B$20*SQRT(M7)</f>
        <v>0.00402798758020347</v>
      </c>
      <c r="P7" s="3" t="n">
        <f aca="false">Parameters!$B$9+Parameters!$B$28*M7</f>
        <v>0.0794907407407408</v>
      </c>
      <c r="Q7" s="3" t="n">
        <f aca="false">Parameters!$B$17+Parameters!$B$29*(M7-Parameters!$B$18)</f>
        <v>0.10057739548811</v>
      </c>
      <c r="S7" s="0" t="n">
        <v>0.09</v>
      </c>
      <c r="T7" s="3" t="n">
        <f aca="false">Parameters!$B$24+Parameters!$B$26*(S7-Parameters!$B$23)^2</f>
        <v>0.03390625</v>
      </c>
      <c r="U7" s="3" t="n">
        <f aca="false">SQRT(T7)</f>
        <v>0.184136498283203</v>
      </c>
      <c r="W7" s="3" t="s">
        <v>62</v>
      </c>
      <c r="X7" s="3" t="n">
        <f aca="false">SQRT(Parameters!$B$24)</f>
        <v>0.130801035512297</v>
      </c>
      <c r="Y7" s="3" t="n">
        <f aca="false">X7^2</f>
        <v>0.0171089108910891</v>
      </c>
      <c r="Z7" s="6" t="n">
        <f aca="false">Parameters!$B$23</f>
        <v>0.113069306930693</v>
      </c>
    </row>
    <row r="8" customFormat="false" ht="15" hidden="false" customHeight="false" outlineLevel="0" collapsed="false">
      <c r="A8" s="0" t="n">
        <v>-0.25</v>
      </c>
      <c r="B8" s="0" t="n">
        <f aca="false">1-A8</f>
        <v>1.25</v>
      </c>
      <c r="C8" s="0" t="n">
        <f aca="false">A8*Parameters!$B$4+B8*Parameters!$B$5</f>
        <v>0.15</v>
      </c>
      <c r="D8" s="0" t="n">
        <f aca="false">SQRT(E8)</f>
        <v>0.245267710879357</v>
      </c>
      <c r="E8" s="0" t="n">
        <f aca="false">A8^2*Parameters!$B$6^2+B8^2*Parameters!$B$7^2+2*A8*B8*Parameters!$B$12</f>
        <v>0.06015625</v>
      </c>
      <c r="F8" s="0" t="n">
        <f aca="false">Parameters!$B$24+Parameters!$B$26*(C8-Parameters!$B$23)^2</f>
        <v>0.06015625</v>
      </c>
      <c r="G8" s="9" t="n">
        <f aca="false">E8-F8</f>
        <v>0</v>
      </c>
      <c r="I8" s="0" t="n">
        <v>0.05</v>
      </c>
      <c r="J8" s="3" t="n">
        <f aca="false">Parameters!$B$9+Parameters!$B$20*I8</f>
        <v>0.0756991362082824</v>
      </c>
      <c r="K8" s="3" t="n">
        <f aca="false">Parameters!$B$9-Parameters!$B$20*I8</f>
        <v>0.0243008637917176</v>
      </c>
      <c r="M8" s="0" t="n">
        <v>0.01</v>
      </c>
      <c r="N8" s="3" t="n">
        <f aca="false">Parameters!$B$9+Parameters!$B$20*SQRT(M8)</f>
        <v>0.101398272416565</v>
      </c>
      <c r="O8" s="3" t="n">
        <f aca="false">Parameters!$B$9-Parameters!$B$20*SQRT(M8)</f>
        <v>-0.00139827241656483</v>
      </c>
      <c r="P8" s="3" t="n">
        <f aca="false">Parameters!$B$9+Parameters!$B$28*M8</f>
        <v>0.0868634259259259</v>
      </c>
      <c r="Q8" s="3" t="n">
        <f aca="false">Parameters!$B$17+Parameters!$B$29*(M8-Parameters!$B$18)</f>
        <v>0.104263738080702</v>
      </c>
      <c r="S8" s="0" t="n">
        <v>0.0925</v>
      </c>
      <c r="T8" s="3" t="n">
        <f aca="false">Parameters!$B$24+Parameters!$B$26*(S8-Parameters!$B$23)^2</f>
        <v>0.030462890625</v>
      </c>
      <c r="U8" s="3" t="n">
        <f aca="false">SQRT(T8)</f>
        <v>0.174536215797754</v>
      </c>
    </row>
    <row r="9" customFormat="false" ht="15" hidden="false" customHeight="false" outlineLevel="0" collapsed="false">
      <c r="A9" s="0" t="n">
        <v>-0.2</v>
      </c>
      <c r="B9" s="0" t="n">
        <f aca="false">1-A9</f>
        <v>1.2</v>
      </c>
      <c r="C9" s="0" t="n">
        <f aca="false">A9*Parameters!$B$4+B9*Parameters!$B$5</f>
        <v>0.148</v>
      </c>
      <c r="D9" s="0" t="n">
        <f aca="false">SQRT(E9)</f>
        <v>0.235838928084403</v>
      </c>
      <c r="E9" s="0" t="n">
        <f aca="false">A9^2*Parameters!$B$6^2+B9^2*Parameters!$B$7^2+2*A9*B9*Parameters!$B$12</f>
        <v>0.05562</v>
      </c>
      <c r="F9" s="0" t="n">
        <f aca="false">Parameters!$B$24+Parameters!$B$26*(C9-Parameters!$B$23)^2</f>
        <v>0.05562</v>
      </c>
      <c r="G9" s="9" t="n">
        <f aca="false">E9-F9</f>
        <v>0</v>
      </c>
      <c r="I9" s="0" t="n">
        <v>0.06</v>
      </c>
      <c r="J9" s="3" t="n">
        <f aca="false">Parameters!$B$9+Parameters!$B$20*I9</f>
        <v>0.0808389634499389</v>
      </c>
      <c r="K9" s="3" t="n">
        <f aca="false">Parameters!$B$9-Parameters!$B$20*I9</f>
        <v>0.0191610365500611</v>
      </c>
      <c r="M9" s="0" t="n">
        <v>0.012</v>
      </c>
      <c r="N9" s="3" t="n">
        <f aca="false">Parameters!$B$9+Parameters!$B$20*SQRT(M9)</f>
        <v>0.106303986438696</v>
      </c>
      <c r="O9" s="3" t="n">
        <f aca="false">Parameters!$B$9-Parameters!$B$20*SQRT(M9)</f>
        <v>-0.00630398643869624</v>
      </c>
      <c r="P9" s="3" t="n">
        <f aca="false">Parameters!$B$9+Parameters!$B$28*M9</f>
        <v>0.0942361111111111</v>
      </c>
      <c r="Q9" s="3" t="n">
        <f aca="false">Parameters!$B$17+Parameters!$B$29*(M9-Parameters!$B$18)</f>
        <v>0.107950080673295</v>
      </c>
      <c r="S9" s="0" t="n">
        <v>0.095</v>
      </c>
      <c r="T9" s="3" t="n">
        <f aca="false">Parameters!$B$24+Parameters!$B$26*(S9-Parameters!$B$23)^2</f>
        <v>0.0274140625</v>
      </c>
      <c r="U9" s="3" t="n">
        <f aca="false">SQRT(T9)</f>
        <v>0.165571925458394</v>
      </c>
      <c r="W9" s="4" t="s">
        <v>63</v>
      </c>
    </row>
    <row r="10" customFormat="false" ht="15" hidden="false" customHeight="false" outlineLevel="0" collapsed="false">
      <c r="A10" s="0" t="n">
        <v>-0.15</v>
      </c>
      <c r="B10" s="0" t="n">
        <f aca="false">1-A10</f>
        <v>1.15</v>
      </c>
      <c r="C10" s="0" t="n">
        <f aca="false">A10*Parameters!$B$4+B10*Parameters!$B$5</f>
        <v>0.146</v>
      </c>
      <c r="D10" s="0" t="n">
        <f aca="false">SQRT(E10)</f>
        <v>0.226575042756258</v>
      </c>
      <c r="E10" s="0" t="n">
        <f aca="false">A10^2*Parameters!$B$6^2+B10^2*Parameters!$B$7^2+2*A10*B10*Parameters!$B$12</f>
        <v>0.05133625</v>
      </c>
      <c r="F10" s="0" t="n">
        <f aca="false">Parameters!$B$24+Parameters!$B$26*(C10-Parameters!$B$23)^2</f>
        <v>0.05133625</v>
      </c>
      <c r="G10" s="9" t="n">
        <f aca="false">E10-F10</f>
        <v>0</v>
      </c>
      <c r="I10" s="0" t="n">
        <v>0.07</v>
      </c>
      <c r="J10" s="3" t="n">
        <f aca="false">Parameters!$B$9+Parameters!$B$20*I10</f>
        <v>0.0859787906915954</v>
      </c>
      <c r="K10" s="3" t="n">
        <f aca="false">Parameters!$B$9-Parameters!$B$20*I10</f>
        <v>0.0140212093084046</v>
      </c>
      <c r="M10" s="0" t="n">
        <v>0.014</v>
      </c>
      <c r="N10" s="3" t="n">
        <f aca="false">Parameters!$B$9+Parameters!$B$20*SQRT(M10)</f>
        <v>0.110815256065977</v>
      </c>
      <c r="O10" s="3" t="n">
        <f aca="false">Parameters!$B$9-Parameters!$B$20*SQRT(M10)</f>
        <v>-0.0108152560659772</v>
      </c>
      <c r="P10" s="3" t="n">
        <f aca="false">Parameters!$B$9+Parameters!$B$28*M10</f>
        <v>0.101608796296296</v>
      </c>
      <c r="Q10" s="3" t="n">
        <f aca="false">Parameters!$B$17+Parameters!$B$29*(M10-Parameters!$B$18)</f>
        <v>0.111636423265888</v>
      </c>
      <c r="S10" s="0" t="n">
        <v>0.0975</v>
      </c>
      <c r="T10" s="3" t="n">
        <f aca="false">Parameters!$B$24+Parameters!$B$26*(S10-Parameters!$B$23)^2</f>
        <v>0.024759765625</v>
      </c>
      <c r="U10" s="3" t="n">
        <f aca="false">SQRT(T10)</f>
        <v>0.157352361358195</v>
      </c>
      <c r="W10" s="3" t="s">
        <v>64</v>
      </c>
      <c r="X10" s="6" t="n">
        <f aca="false">Parameters!$B$15</f>
        <v>0.45839874411303</v>
      </c>
    </row>
    <row r="11" customFormat="false" ht="15" hidden="false" customHeight="false" outlineLevel="0" collapsed="false">
      <c r="A11" s="0" t="n">
        <v>-0.1</v>
      </c>
      <c r="B11" s="0" t="n">
        <f aca="false">1-A11</f>
        <v>1.1</v>
      </c>
      <c r="C11" s="0" t="n">
        <f aca="false">A11*Parameters!$B$4+B11*Parameters!$B$5</f>
        <v>0.144</v>
      </c>
      <c r="D11" s="0" t="n">
        <f aca="false">SQRT(E11)</f>
        <v>0.217497126417799</v>
      </c>
      <c r="E11" s="0" t="n">
        <f aca="false">A11^2*Parameters!$B$6^2+B11^2*Parameters!$B$7^2+2*A11*B11*Parameters!$B$12</f>
        <v>0.047305</v>
      </c>
      <c r="F11" s="0" t="n">
        <f aca="false">Parameters!$B$24+Parameters!$B$26*(C11-Parameters!$B$23)^2</f>
        <v>0.047305</v>
      </c>
      <c r="G11" s="9" t="n">
        <f aca="false">E11-F11</f>
        <v>0</v>
      </c>
      <c r="I11" s="0" t="n">
        <v>0.08</v>
      </c>
      <c r="J11" s="3" t="n">
        <f aca="false">Parameters!$B$9+Parameters!$B$20*I11</f>
        <v>0.0911186179332519</v>
      </c>
      <c r="K11" s="3" t="n">
        <f aca="false">Parameters!$B$9-Parameters!$B$20*I11</f>
        <v>0.00888138206674814</v>
      </c>
      <c r="M11" s="0" t="n">
        <v>0.016</v>
      </c>
      <c r="N11" s="3" t="n">
        <f aca="false">Parameters!$B$9+Parameters!$B$20*SQRT(M11)</f>
        <v>0.115014243453661</v>
      </c>
      <c r="O11" s="3" t="n">
        <f aca="false">Parameters!$B$9-Parameters!$B$20*SQRT(M11)</f>
        <v>-0.0150142434536606</v>
      </c>
      <c r="P11" s="3" t="n">
        <f aca="false">Parameters!$B$9+Parameters!$B$28*M11</f>
        <v>0.108981481481481</v>
      </c>
      <c r="Q11" s="3" t="n">
        <f aca="false">Parameters!$B$17+Parameters!$B$29*(M11-Parameters!$B$18)</f>
        <v>0.11532276585848</v>
      </c>
      <c r="S11" s="0" t="n">
        <v>0.1</v>
      </c>
      <c r="T11" s="3" t="n">
        <f aca="false">Parameters!$B$24+Parameters!$B$26*(S11-Parameters!$B$23)^2</f>
        <v>0.0225</v>
      </c>
      <c r="U11" s="3" t="n">
        <f aca="false">SQRT(T11)</f>
        <v>0.15</v>
      </c>
      <c r="W11" s="3" t="s">
        <v>65</v>
      </c>
      <c r="X11" s="6" t="n">
        <f aca="false">Parameters!$B$16</f>
        <v>0.54160125588697</v>
      </c>
    </row>
    <row r="12" customFormat="false" ht="15" hidden="false" customHeight="false" outlineLevel="0" collapsed="false">
      <c r="A12" s="0" t="n">
        <v>-0.05</v>
      </c>
      <c r="B12" s="0" t="n">
        <f aca="false">1-A12</f>
        <v>1.05</v>
      </c>
      <c r="C12" s="0" t="n">
        <f aca="false">A12*Parameters!$B$4+B12*Parameters!$B$5</f>
        <v>0.142</v>
      </c>
      <c r="D12" s="0" t="n">
        <f aca="false">SQRT(E12)</f>
        <v>0.208629456213642</v>
      </c>
      <c r="E12" s="0" t="n">
        <f aca="false">A12^2*Parameters!$B$6^2+B12^2*Parameters!$B$7^2+2*A12*B12*Parameters!$B$12</f>
        <v>0.04352625</v>
      </c>
      <c r="F12" s="0" t="n">
        <f aca="false">Parameters!$B$24+Parameters!$B$26*(C12-Parameters!$B$23)^2</f>
        <v>0.04352625</v>
      </c>
      <c r="G12" s="9" t="n">
        <f aca="false">E12-F12</f>
        <v>0</v>
      </c>
      <c r="I12" s="0" t="n">
        <v>0.09</v>
      </c>
      <c r="J12" s="3" t="n">
        <f aca="false">Parameters!$B$9+Parameters!$B$20*I12</f>
        <v>0.0962584451749083</v>
      </c>
      <c r="K12" s="3" t="n">
        <f aca="false">Parameters!$B$9-Parameters!$B$20*I12</f>
        <v>0.00374155482509166</v>
      </c>
      <c r="M12" s="0" t="n">
        <v>0.018</v>
      </c>
      <c r="N12" s="3" t="n">
        <f aca="false">Parameters!$B$9+Parameters!$B$20*SQRT(M12)</f>
        <v>0.118958018629695</v>
      </c>
      <c r="O12" s="3" t="n">
        <f aca="false">Parameters!$B$9-Parameters!$B$20*SQRT(M12)</f>
        <v>-0.0189580186296948</v>
      </c>
      <c r="P12" s="3" t="n">
        <f aca="false">Parameters!$B$9+Parameters!$B$28*M12</f>
        <v>0.116354166666667</v>
      </c>
      <c r="Q12" s="3" t="n">
        <f aca="false">Parameters!$B$17+Parameters!$B$29*(M12-Parameters!$B$18)</f>
        <v>0.119009108451073</v>
      </c>
      <c r="S12" s="0" t="n">
        <v>0.1025</v>
      </c>
      <c r="T12" s="3" t="n">
        <f aca="false">Parameters!$B$24+Parameters!$B$26*(S12-Parameters!$B$23)^2</f>
        <v>0.020634765625</v>
      </c>
      <c r="U12" s="3" t="n">
        <f aca="false">SQRT(T12)</f>
        <v>0.143648061682015</v>
      </c>
    </row>
    <row r="13" customFormat="false" ht="15" hidden="false" customHeight="false" outlineLevel="0" collapsed="false">
      <c r="A13" s="0" t="n">
        <v>0</v>
      </c>
      <c r="B13" s="0" t="n">
        <f aca="false">1-A13</f>
        <v>1</v>
      </c>
      <c r="C13" s="0" t="n">
        <f aca="false">A13*Parameters!$B$4+B13*Parameters!$B$5</f>
        <v>0.14</v>
      </c>
      <c r="D13" s="0" t="n">
        <f aca="false">SQRT(E13)</f>
        <v>0.2</v>
      </c>
      <c r="E13" s="0" t="n">
        <f aca="false">A13^2*Parameters!$B$6^2+B13^2*Parameters!$B$7^2+2*A13*B13*Parameters!$B$12</f>
        <v>0.04</v>
      </c>
      <c r="F13" s="0" t="n">
        <f aca="false">Parameters!$B$24+Parameters!$B$26*(C13-Parameters!$B$23)^2</f>
        <v>0.04</v>
      </c>
      <c r="G13" s="9" t="n">
        <f aca="false">E13-F13</f>
        <v>0</v>
      </c>
      <c r="I13" s="0" t="n">
        <v>0.1</v>
      </c>
      <c r="J13" s="3" t="n">
        <f aca="false">Parameters!$B$9+Parameters!$B$20*I13</f>
        <v>0.101398272416565</v>
      </c>
      <c r="K13" s="3" t="n">
        <f aca="false">Parameters!$B$9-Parameters!$B$20*I13</f>
        <v>-0.00139827241656483</v>
      </c>
      <c r="M13" s="0" t="n">
        <v>0.02</v>
      </c>
      <c r="N13" s="3" t="n">
        <f aca="false">Parameters!$B$9+Parameters!$B$20*SQRT(M13)</f>
        <v>0.122688133934053</v>
      </c>
      <c r="O13" s="3" t="n">
        <f aca="false">Parameters!$B$9-Parameters!$B$20*SQRT(M13)</f>
        <v>-0.0226881339340529</v>
      </c>
      <c r="P13" s="3" t="n">
        <f aca="false">Parameters!$B$9+Parameters!$B$28*M13</f>
        <v>0.123726851851852</v>
      </c>
      <c r="Q13" s="3" t="n">
        <f aca="false">Parameters!$B$17+Parameters!$B$29*(M13-Parameters!$B$18)</f>
        <v>0.122695451043665</v>
      </c>
      <c r="S13" s="0" t="n">
        <v>0.105</v>
      </c>
      <c r="T13" s="3" t="n">
        <f aca="false">Parameters!$B$24+Parameters!$B$26*(S13-Parameters!$B$23)^2</f>
        <v>0.0191640625</v>
      </c>
      <c r="U13" s="3" t="n">
        <f aca="false">SQRT(T13)</f>
        <v>0.138434325584372</v>
      </c>
    </row>
    <row r="14" customFormat="false" ht="15" hidden="false" customHeight="false" outlineLevel="0" collapsed="false">
      <c r="A14" s="0" t="n">
        <v>0.05</v>
      </c>
      <c r="B14" s="0" t="n">
        <f aca="false">1-A14</f>
        <v>0.95</v>
      </c>
      <c r="C14" s="0" t="n">
        <f aca="false">A14*Parameters!$B$4+B14*Parameters!$B$5</f>
        <v>0.138</v>
      </c>
      <c r="D14" s="0" t="n">
        <f aca="false">SQRT(E14)</f>
        <v>0.191640940302431</v>
      </c>
      <c r="E14" s="0" t="n">
        <f aca="false">A14^2*Parameters!$B$6^2+B14^2*Parameters!$B$7^2+2*A14*B14*Parameters!$B$12</f>
        <v>0.03672625</v>
      </c>
      <c r="F14" s="0" t="n">
        <f aca="false">Parameters!$B$24+Parameters!$B$26*(C14-Parameters!$B$23)^2</f>
        <v>0.03672625</v>
      </c>
      <c r="G14" s="9" t="n">
        <f aca="false">E14-F14</f>
        <v>0</v>
      </c>
      <c r="I14" s="0" t="n">
        <v>0.11</v>
      </c>
      <c r="J14" s="3" t="n">
        <f aca="false">Parameters!$B$9+Parameters!$B$20*I14</f>
        <v>0.106538099658221</v>
      </c>
      <c r="K14" s="3" t="n">
        <f aca="false">Parameters!$B$9-Parameters!$B$20*I14</f>
        <v>-0.00653809965822131</v>
      </c>
      <c r="M14" s="0" t="n">
        <v>0.022</v>
      </c>
      <c r="N14" s="3" t="n">
        <f aca="false">Parameters!$B$9+Parameters!$B$20*SQRT(M14)</f>
        <v>0.126235958027012</v>
      </c>
      <c r="O14" s="3" t="n">
        <f aca="false">Parameters!$B$9-Parameters!$B$20*SQRT(M14)</f>
        <v>-0.0262359580270118</v>
      </c>
      <c r="P14" s="3" t="n">
        <f aca="false">Parameters!$B$9+Parameters!$B$28*M14</f>
        <v>0.131099537037037</v>
      </c>
      <c r="Q14" s="3" t="n">
        <f aca="false">Parameters!$B$17+Parameters!$B$29*(M14-Parameters!$B$18)</f>
        <v>0.126381793636258</v>
      </c>
      <c r="S14" s="0" t="n">
        <v>0.1075</v>
      </c>
      <c r="T14" s="3" t="n">
        <f aca="false">Parameters!$B$24+Parameters!$B$26*(S14-Parameters!$B$23)^2</f>
        <v>0.018087890625</v>
      </c>
      <c r="U14" s="3" t="n">
        <f aca="false">SQRT(T14)</f>
        <v>0.13449122880322</v>
      </c>
    </row>
    <row r="15" customFormat="false" ht="15" hidden="false" customHeight="false" outlineLevel="0" collapsed="false">
      <c r="A15" s="0" t="n">
        <v>0.1</v>
      </c>
      <c r="B15" s="0" t="n">
        <f aca="false">1-A15</f>
        <v>0.9</v>
      </c>
      <c r="C15" s="0" t="n">
        <f aca="false">A15*Parameters!$B$4+B15*Parameters!$B$5</f>
        <v>0.136</v>
      </c>
      <c r="D15" s="0" t="n">
        <f aca="false">SQRT(E15)</f>
        <v>0.183589215369531</v>
      </c>
      <c r="E15" s="0" t="n">
        <f aca="false">A15^2*Parameters!$B$6^2+B15^2*Parameters!$B$7^2+2*A15*B15*Parameters!$B$12</f>
        <v>0.033705</v>
      </c>
      <c r="F15" s="0" t="n">
        <f aca="false">Parameters!$B$24+Parameters!$B$26*(C15-Parameters!$B$23)^2</f>
        <v>0.033705</v>
      </c>
      <c r="G15" s="9" t="n">
        <f aca="false">E15-F15</f>
        <v>0</v>
      </c>
      <c r="I15" s="0" t="n">
        <v>0.12</v>
      </c>
      <c r="J15" s="3" t="n">
        <f aca="false">Parameters!$B$9+Parameters!$B$20*I15</f>
        <v>0.111677926899878</v>
      </c>
      <c r="K15" s="3" t="n">
        <f aca="false">Parameters!$B$9-Parameters!$B$20*I15</f>
        <v>-0.0116779268998778</v>
      </c>
      <c r="M15" s="0" t="n">
        <v>0.024</v>
      </c>
      <c r="N15" s="3" t="n">
        <f aca="false">Parameters!$B$9+Parameters!$B$20*SQRT(M15)</f>
        <v>0.129625861237275</v>
      </c>
      <c r="O15" s="3" t="n">
        <f aca="false">Parameters!$B$9-Parameters!$B$20*SQRT(M15)</f>
        <v>-0.0296258612372751</v>
      </c>
      <c r="P15" s="3" t="n">
        <f aca="false">Parameters!$B$9+Parameters!$B$28*M15</f>
        <v>0.138472222222222</v>
      </c>
      <c r="Q15" s="3" t="n">
        <f aca="false">Parameters!$B$17+Parameters!$B$29*(M15-Parameters!$B$18)</f>
        <v>0.130068136228851</v>
      </c>
      <c r="S15" s="0" t="n">
        <v>0.11</v>
      </c>
      <c r="T15" s="3" t="n">
        <f aca="false">Parameters!$B$24+Parameters!$B$26*(S15-Parameters!$B$23)^2</f>
        <v>0.01740625</v>
      </c>
      <c r="U15" s="3" t="n">
        <f aca="false">SQRT(T15)</f>
        <v>0.131932748019588</v>
      </c>
    </row>
    <row r="16" customFormat="false" ht="15" hidden="false" customHeight="false" outlineLevel="0" collapsed="false">
      <c r="A16" s="0" t="n">
        <v>0.15</v>
      </c>
      <c r="B16" s="0" t="n">
        <f aca="false">1-A16</f>
        <v>0.85</v>
      </c>
      <c r="C16" s="0" t="n">
        <f aca="false">A16*Parameters!$B$4+B16*Parameters!$B$5</f>
        <v>0.134</v>
      </c>
      <c r="D16" s="0" t="n">
        <f aca="false">SQRT(E16)</f>
        <v>0.175887037612213</v>
      </c>
      <c r="E16" s="0" t="n">
        <f aca="false">A16^2*Parameters!$B$6^2+B16^2*Parameters!$B$7^2+2*A16*B16*Parameters!$B$12</f>
        <v>0.03093625</v>
      </c>
      <c r="F16" s="0" t="n">
        <f aca="false">Parameters!$B$24+Parameters!$B$26*(C16-Parameters!$B$23)^2</f>
        <v>0.03093625</v>
      </c>
      <c r="G16" s="9" t="n">
        <f aca="false">E16-F16</f>
        <v>0</v>
      </c>
      <c r="I16" s="0" t="n">
        <v>0.13</v>
      </c>
      <c r="J16" s="3" t="n">
        <f aca="false">Parameters!$B$9+Parameters!$B$20*I16</f>
        <v>0.116817754141534</v>
      </c>
      <c r="K16" s="3" t="n">
        <f aca="false">Parameters!$B$9-Parameters!$B$20*I16</f>
        <v>-0.0168177541415343</v>
      </c>
      <c r="M16" s="0" t="n">
        <v>0.026</v>
      </c>
      <c r="N16" s="3" t="n">
        <f aca="false">Parameters!$B$9+Parameters!$B$20*SQRT(M16)</f>
        <v>0.132877224007922</v>
      </c>
      <c r="O16" s="3" t="n">
        <f aca="false">Parameters!$B$9-Parameters!$B$20*SQRT(M16)</f>
        <v>-0.0328772240079219</v>
      </c>
      <c r="P16" s="3" t="n">
        <f aca="false">Parameters!$B$9+Parameters!$B$28*M16</f>
        <v>0.145844907407407</v>
      </c>
      <c r="Q16" s="3" t="n">
        <f aca="false">Parameters!$B$17+Parameters!$B$29*(M16-Parameters!$B$18)</f>
        <v>0.133754478821443</v>
      </c>
      <c r="S16" s="0" t="n">
        <v>0.1125</v>
      </c>
      <c r="T16" s="3" t="n">
        <f aca="false">Parameters!$B$24+Parameters!$B$26*(S16-Parameters!$B$23)^2</f>
        <v>0.017119140625</v>
      </c>
      <c r="U16" s="3" t="n">
        <f aca="false">SQRT(T16)</f>
        <v>0.130840133846615</v>
      </c>
    </row>
    <row r="17" customFormat="false" ht="15" hidden="false" customHeight="false" outlineLevel="0" collapsed="false">
      <c r="A17" s="0" t="n">
        <v>0.2</v>
      </c>
      <c r="B17" s="0" t="n">
        <f aca="false">1-A17</f>
        <v>0.8</v>
      </c>
      <c r="C17" s="0" t="n">
        <f aca="false">A17*Parameters!$B$4+B17*Parameters!$B$5</f>
        <v>0.132</v>
      </c>
      <c r="D17" s="0" t="n">
        <f aca="false">SQRT(E17)</f>
        <v>0.168582324103092</v>
      </c>
      <c r="E17" s="0" t="n">
        <f aca="false">A17^2*Parameters!$B$6^2+B17^2*Parameters!$B$7^2+2*A17*B17*Parameters!$B$12</f>
        <v>0.02842</v>
      </c>
      <c r="F17" s="0" t="n">
        <f aca="false">Parameters!$B$24+Parameters!$B$26*(C17-Parameters!$B$23)^2</f>
        <v>0.02842</v>
      </c>
      <c r="G17" s="9" t="n">
        <f aca="false">E17-F17</f>
        <v>0</v>
      </c>
      <c r="I17" s="0" t="n">
        <v>0.14</v>
      </c>
      <c r="J17" s="3" t="n">
        <f aca="false">Parameters!$B$9+Parameters!$B$20*I17</f>
        <v>0.121957581383191</v>
      </c>
      <c r="K17" s="3" t="n">
        <f aca="false">Parameters!$B$9-Parameters!$B$20*I17</f>
        <v>-0.0219575813831908</v>
      </c>
      <c r="M17" s="0" t="n">
        <v>0.028</v>
      </c>
      <c r="N17" s="3" t="n">
        <f aca="false">Parameters!$B$9+Parameters!$B$20*SQRT(M17)</f>
        <v>0.136005759927698</v>
      </c>
      <c r="O17" s="3" t="n">
        <f aca="false">Parameters!$B$9-Parameters!$B$20*SQRT(M17)</f>
        <v>-0.0360057599276975</v>
      </c>
      <c r="P17" s="3" t="n">
        <f aca="false">Parameters!$B$9+Parameters!$B$28*M17</f>
        <v>0.153217592592593</v>
      </c>
      <c r="Q17" s="3" t="n">
        <f aca="false">Parameters!$B$17+Parameters!$B$29*(M17-Parameters!$B$18)</f>
        <v>0.137440821414036</v>
      </c>
      <c r="S17" s="0" t="n">
        <v>0.115</v>
      </c>
      <c r="T17" s="3" t="n">
        <f aca="false">Parameters!$B$24+Parameters!$B$26*(S17-Parameters!$B$23)^2</f>
        <v>0.0172265625</v>
      </c>
      <c r="U17" s="3" t="n">
        <f aca="false">SQRT(T17)</f>
        <v>0.13125</v>
      </c>
    </row>
    <row r="18" customFormat="false" ht="15" hidden="false" customHeight="false" outlineLevel="0" collapsed="false">
      <c r="A18" s="0" t="n">
        <v>0.25</v>
      </c>
      <c r="B18" s="0" t="n">
        <f aca="false">1-A18</f>
        <v>0.75</v>
      </c>
      <c r="C18" s="0" t="n">
        <f aca="false">A18*Parameters!$B$4+B18*Parameters!$B$5</f>
        <v>0.13</v>
      </c>
      <c r="D18" s="0" t="n">
        <f aca="false">SQRT(E18)</f>
        <v>0.161728939896359</v>
      </c>
      <c r="E18" s="0" t="n">
        <f aca="false">A18^2*Parameters!$B$6^2+B18^2*Parameters!$B$7^2+2*A18*B18*Parameters!$B$12</f>
        <v>0.02615625</v>
      </c>
      <c r="F18" s="0" t="n">
        <f aca="false">Parameters!$B$24+Parameters!$B$26*(C18-Parameters!$B$23)^2</f>
        <v>0.02615625</v>
      </c>
      <c r="G18" s="9" t="n">
        <f aca="false">E18-F18</f>
        <v>0</v>
      </c>
      <c r="I18" s="0" t="n">
        <v>0.15</v>
      </c>
      <c r="J18" s="3" t="n">
        <f aca="false">Parameters!$B$9+Parameters!$B$20*I18</f>
        <v>0.127097408624847</v>
      </c>
      <c r="K18" s="3" t="n">
        <f aca="false">Parameters!$B$9-Parameters!$B$20*I18</f>
        <v>-0.0270974086248472</v>
      </c>
      <c r="M18" s="0" t="n">
        <v>0.03</v>
      </c>
      <c r="N18" s="3" t="n">
        <f aca="false">Parameters!$B$9+Parameters!$B$20*SQRT(M18)</f>
        <v>0.139024419246756</v>
      </c>
      <c r="O18" s="3" t="n">
        <f aca="false">Parameters!$B$9-Parameters!$B$20*SQRT(M18)</f>
        <v>-0.0390244192467563</v>
      </c>
      <c r="P18" s="3" t="n">
        <f aca="false">Parameters!$B$9+Parameters!$B$28*M18</f>
        <v>0.160590277777778</v>
      </c>
      <c r="Q18" s="3" t="n">
        <f aca="false">Parameters!$B$17+Parameters!$B$29*(M18-Parameters!$B$18)</f>
        <v>0.141127164006628</v>
      </c>
      <c r="S18" s="0" t="n">
        <v>0.1175</v>
      </c>
      <c r="T18" s="3" t="n">
        <f aca="false">Parameters!$B$24+Parameters!$B$26*(S18-Parameters!$B$23)^2</f>
        <v>0.017728515625</v>
      </c>
      <c r="U18" s="3" t="n">
        <f aca="false">SQRT(T18)</f>
        <v>0.133148472109146</v>
      </c>
    </row>
    <row r="19" customFormat="false" ht="15" hidden="false" customHeight="false" outlineLevel="0" collapsed="false">
      <c r="A19" s="0" t="n">
        <v>0.3</v>
      </c>
      <c r="B19" s="0" t="n">
        <f aca="false">1-A19</f>
        <v>0.7</v>
      </c>
      <c r="C19" s="0" t="n">
        <f aca="false">A19*Parameters!$B$4+B19*Parameters!$B$5</f>
        <v>0.128</v>
      </c>
      <c r="D19" s="0" t="n">
        <f aca="false">SQRT(E19)</f>
        <v>0.155386614610139</v>
      </c>
      <c r="E19" s="0" t="n">
        <f aca="false">A19^2*Parameters!$B$6^2+B19^2*Parameters!$B$7^2+2*A19*B19*Parameters!$B$12</f>
        <v>0.024145</v>
      </c>
      <c r="F19" s="0" t="n">
        <f aca="false">Parameters!$B$24+Parameters!$B$26*(C19-Parameters!$B$23)^2</f>
        <v>0.024145</v>
      </c>
      <c r="G19" s="9" t="n">
        <f aca="false">E19-F19</f>
        <v>0</v>
      </c>
      <c r="I19" s="0" t="n">
        <v>0.16</v>
      </c>
      <c r="J19" s="3" t="n">
        <f aca="false">Parameters!$B$9+Parameters!$B$20*I19</f>
        <v>0.132237235866504</v>
      </c>
      <c r="K19" s="3" t="n">
        <f aca="false">Parameters!$B$9-Parameters!$B$20*I19</f>
        <v>-0.0322372358665037</v>
      </c>
      <c r="M19" s="0" t="n">
        <v>0.032</v>
      </c>
      <c r="N19" s="3" t="n">
        <f aca="false">Parameters!$B$9+Parameters!$B$20*SQRT(M19)</f>
        <v>0.141944024839593</v>
      </c>
      <c r="O19" s="3" t="n">
        <f aca="false">Parameters!$B$9-Parameters!$B$20*SQRT(M19)</f>
        <v>-0.0419440248395931</v>
      </c>
      <c r="P19" s="3" t="n">
        <f aca="false">Parameters!$B$9+Parameters!$B$28*M19</f>
        <v>0.167962962962963</v>
      </c>
      <c r="Q19" s="3" t="n">
        <f aca="false">Parameters!$B$17+Parameters!$B$29*(M19-Parameters!$B$18)</f>
        <v>0.144813506599221</v>
      </c>
      <c r="S19" s="0" t="n">
        <v>0.12</v>
      </c>
      <c r="T19" s="3" t="n">
        <f aca="false">Parameters!$B$24+Parameters!$B$26*(S19-Parameters!$B$23)^2</f>
        <v>0.018625</v>
      </c>
      <c r="U19" s="3" t="n">
        <f aca="false">SQRT(T19)</f>
        <v>0.136473440639562</v>
      </c>
    </row>
    <row r="20" customFormat="false" ht="15" hidden="false" customHeight="false" outlineLevel="0" collapsed="false">
      <c r="A20" s="0" t="n">
        <v>0.35</v>
      </c>
      <c r="B20" s="0" t="n">
        <f aca="false">1-A20</f>
        <v>0.65</v>
      </c>
      <c r="C20" s="0" t="n">
        <f aca="false">A20*Parameters!$B$4+B20*Parameters!$B$5</f>
        <v>0.126</v>
      </c>
      <c r="D20" s="0" t="n">
        <f aca="false">SQRT(E20)</f>
        <v>0.149620352893582</v>
      </c>
      <c r="E20" s="0" t="n">
        <f aca="false">A20^2*Parameters!$B$6^2+B20^2*Parameters!$B$7^2+2*A20*B20*Parameters!$B$12</f>
        <v>0.02238625</v>
      </c>
      <c r="F20" s="0" t="n">
        <f aca="false">Parameters!$B$24+Parameters!$B$26*(C20-Parameters!$B$23)^2</f>
        <v>0.02238625</v>
      </c>
      <c r="G20" s="9" t="n">
        <f aca="false">E20-F20</f>
        <v>0</v>
      </c>
      <c r="I20" s="0" t="n">
        <v>0.17</v>
      </c>
      <c r="J20" s="3" t="n">
        <f aca="false">Parameters!$B$9+Parameters!$B$20*I20</f>
        <v>0.13737706310816</v>
      </c>
      <c r="K20" s="3" t="n">
        <f aca="false">Parameters!$B$9-Parameters!$B$20*I20</f>
        <v>-0.0373770631081602</v>
      </c>
      <c r="M20" s="0" t="n">
        <v>0.034</v>
      </c>
      <c r="N20" s="3" t="n">
        <f aca="false">Parameters!$B$9+Parameters!$B$20*SQRT(M20)</f>
        <v>0.144773731514514</v>
      </c>
      <c r="O20" s="3" t="n">
        <f aca="false">Parameters!$B$9-Parameters!$B$20*SQRT(M20)</f>
        <v>-0.044773731514514</v>
      </c>
      <c r="P20" s="3" t="n">
        <f aca="false">Parameters!$B$9+Parameters!$B$28*M20</f>
        <v>0.175335648148148</v>
      </c>
      <c r="Q20" s="3" t="n">
        <f aca="false">Parameters!$B$17+Parameters!$B$29*(M20-Parameters!$B$18)</f>
        <v>0.148499849191814</v>
      </c>
      <c r="S20" s="0" t="n">
        <v>0.1225</v>
      </c>
      <c r="T20" s="3" t="n">
        <f aca="false">Parameters!$B$24+Parameters!$B$26*(S20-Parameters!$B$23)^2</f>
        <v>0.019916015625</v>
      </c>
      <c r="U20" s="3" t="n">
        <f aca="false">SQRT(T20)</f>
        <v>0.141124114257628</v>
      </c>
    </row>
    <row r="21" customFormat="false" ht="15" hidden="false" customHeight="false" outlineLevel="0" collapsed="false">
      <c r="A21" s="0" t="n">
        <v>0.4</v>
      </c>
      <c r="B21" s="0" t="n">
        <f aca="false">1-A21</f>
        <v>0.6</v>
      </c>
      <c r="C21" s="0" t="n">
        <f aca="false">A21*Parameters!$B$4+B21*Parameters!$B$5</f>
        <v>0.124</v>
      </c>
      <c r="D21" s="0" t="n">
        <f aca="false">SQRT(E21)</f>
        <v>0.144499134945508</v>
      </c>
      <c r="E21" s="0" t="n">
        <f aca="false">A21^2*Parameters!$B$6^2+B21^2*Parameters!$B$7^2+2*A21*B21*Parameters!$B$12</f>
        <v>0.02088</v>
      </c>
      <c r="F21" s="0" t="n">
        <f aca="false">Parameters!$B$24+Parameters!$B$26*(C21-Parameters!$B$23)^2</f>
        <v>0.02088</v>
      </c>
      <c r="G21" s="9" t="n">
        <f aca="false">E21-F21</f>
        <v>0</v>
      </c>
      <c r="I21" s="0" t="n">
        <v>0.18</v>
      </c>
      <c r="J21" s="3" t="n">
        <f aca="false">Parameters!$B$9+Parameters!$B$20*I21</f>
        <v>0.142516890349817</v>
      </c>
      <c r="K21" s="3" t="n">
        <f aca="false">Parameters!$B$9-Parameters!$B$20*I21</f>
        <v>-0.0425168903498167</v>
      </c>
      <c r="M21" s="0" t="n">
        <v>0.036</v>
      </c>
      <c r="N21" s="3" t="n">
        <f aca="false">Parameters!$B$9+Parameters!$B$20*SQRT(M21)</f>
        <v>0.147521365180491</v>
      </c>
      <c r="O21" s="3" t="n">
        <f aca="false">Parameters!$B$9-Parameters!$B$20*SQRT(M21)</f>
        <v>-0.0475213651804909</v>
      </c>
      <c r="P21" s="3" t="n">
        <f aca="false">Parameters!$B$9+Parameters!$B$28*M21</f>
        <v>0.182708333333333</v>
      </c>
      <c r="Q21" s="3" t="n">
        <f aca="false">Parameters!$B$17+Parameters!$B$29*(M21-Parameters!$B$18)</f>
        <v>0.152186191784406</v>
      </c>
      <c r="S21" s="0" t="n">
        <v>0.125</v>
      </c>
      <c r="T21" s="3" t="n">
        <f aca="false">Parameters!$B$24+Parameters!$B$26*(S21-Parameters!$B$23)^2</f>
        <v>0.0216015625</v>
      </c>
      <c r="U21" s="3" t="n">
        <f aca="false">SQRT(T21)</f>
        <v>0.146974700203811</v>
      </c>
    </row>
    <row r="22" customFormat="false" ht="15" hidden="false" customHeight="false" outlineLevel="0" collapsed="false">
      <c r="A22" s="0" t="n">
        <v>0.45</v>
      </c>
      <c r="B22" s="0" t="n">
        <f aca="false">1-A22</f>
        <v>0.55</v>
      </c>
      <c r="C22" s="0" t="n">
        <f aca="false">A22*Parameters!$B$4+B22*Parameters!$B$5</f>
        <v>0.122</v>
      </c>
      <c r="D22" s="0" t="n">
        <f aca="false">SQRT(E22)</f>
        <v>0.140093718631493</v>
      </c>
      <c r="E22" s="0" t="n">
        <f aca="false">A22^2*Parameters!$B$6^2+B22^2*Parameters!$B$7^2+2*A22*B22*Parameters!$B$12</f>
        <v>0.01962625</v>
      </c>
      <c r="F22" s="0" t="n">
        <f aca="false">Parameters!$B$24+Parameters!$B$26*(C22-Parameters!$B$23)^2</f>
        <v>0.01962625</v>
      </c>
      <c r="G22" s="9" t="n">
        <f aca="false">E22-F22</f>
        <v>0</v>
      </c>
      <c r="I22" s="0" t="n">
        <v>0.19</v>
      </c>
      <c r="J22" s="3" t="n">
        <f aca="false">Parameters!$B$9+Parameters!$B$20*I22</f>
        <v>0.147656717591473</v>
      </c>
      <c r="K22" s="3" t="n">
        <f aca="false">Parameters!$B$9-Parameters!$B$20*I22</f>
        <v>-0.0476567175914732</v>
      </c>
      <c r="M22" s="0" t="n">
        <v>0.038</v>
      </c>
      <c r="N22" s="3" t="n">
        <f aca="false">Parameters!$B$9+Parameters!$B$20*SQRT(M22)</f>
        <v>0.150193678184545</v>
      </c>
      <c r="O22" s="3" t="n">
        <f aca="false">Parameters!$B$9-Parameters!$B$20*SQRT(M22)</f>
        <v>-0.0501936781845449</v>
      </c>
      <c r="P22" s="3" t="n">
        <f aca="false">Parameters!$B$9+Parameters!$B$28*M22</f>
        <v>0.190081018518519</v>
      </c>
      <c r="Q22" s="3" t="n">
        <f aca="false">Parameters!$B$17+Parameters!$B$29*(M22-Parameters!$B$18)</f>
        <v>0.155872534376999</v>
      </c>
      <c r="S22" s="0" t="n">
        <v>0.1275</v>
      </c>
      <c r="T22" s="3" t="n">
        <f aca="false">Parameters!$B$24+Parameters!$B$26*(S22-Parameters!$B$23)^2</f>
        <v>0.023681640625</v>
      </c>
      <c r="U22" s="3" t="n">
        <f aca="false">SQRT(T22)</f>
        <v>0.153888403153064</v>
      </c>
    </row>
    <row r="23" customFormat="false" ht="15" hidden="false" customHeight="false" outlineLevel="0" collapsed="false">
      <c r="A23" s="0" t="n">
        <v>0.5</v>
      </c>
      <c r="B23" s="0" t="n">
        <f aca="false">1-A23</f>
        <v>0.5</v>
      </c>
      <c r="C23" s="0" t="n">
        <f aca="false">A23*Parameters!$B$4+B23*Parameters!$B$5</f>
        <v>0.12</v>
      </c>
      <c r="D23" s="0" t="n">
        <f aca="false">SQRT(E23)</f>
        <v>0.136473440639562</v>
      </c>
      <c r="E23" s="0" t="n">
        <f aca="false">A23^2*Parameters!$B$6^2+B23^2*Parameters!$B$7^2+2*A23*B23*Parameters!$B$12</f>
        <v>0.018625</v>
      </c>
      <c r="F23" s="0" t="n">
        <f aca="false">Parameters!$B$24+Parameters!$B$26*(C23-Parameters!$B$23)^2</f>
        <v>0.018625</v>
      </c>
      <c r="G23" s="9" t="n">
        <f aca="false">E23-F23</f>
        <v>0</v>
      </c>
      <c r="I23" s="0" t="n">
        <v>0.2</v>
      </c>
      <c r="J23" s="3" t="n">
        <f aca="false">Parameters!$B$9+Parameters!$B$20*I23</f>
        <v>0.15279654483313</v>
      </c>
      <c r="K23" s="3" t="n">
        <f aca="false">Parameters!$B$9-Parameters!$B$20*I23</f>
        <v>-0.0527965448331297</v>
      </c>
      <c r="M23" s="0" t="n">
        <v>0.04</v>
      </c>
      <c r="N23" s="3" t="n">
        <f aca="false">Parameters!$B$9+Parameters!$B$20*SQRT(M23)</f>
        <v>0.15279654483313</v>
      </c>
      <c r="O23" s="3" t="n">
        <f aca="false">Parameters!$B$9-Parameters!$B$20*SQRT(M23)</f>
        <v>-0.0527965448331297</v>
      </c>
      <c r="P23" s="3" t="n">
        <f aca="false">Parameters!$B$9+Parameters!$B$28*M23</f>
        <v>0.197453703703704</v>
      </c>
      <c r="Q23" s="3" t="n">
        <f aca="false">Parameters!$B$17+Parameters!$B$29*(M23-Parameters!$B$18)</f>
        <v>0.159558876969591</v>
      </c>
      <c r="S23" s="0" t="n">
        <v>0.13</v>
      </c>
      <c r="T23" s="3" t="n">
        <f aca="false">Parameters!$B$24+Parameters!$B$26*(S23-Parameters!$B$23)^2</f>
        <v>0.02615625</v>
      </c>
      <c r="U23" s="3" t="n">
        <f aca="false">SQRT(T23)</f>
        <v>0.161728939896359</v>
      </c>
    </row>
    <row r="24" customFormat="false" ht="15" hidden="false" customHeight="false" outlineLevel="0" collapsed="false">
      <c r="A24" s="0" t="n">
        <v>0.55</v>
      </c>
      <c r="B24" s="0" t="n">
        <f aca="false">1-A24</f>
        <v>0.45</v>
      </c>
      <c r="C24" s="0" t="n">
        <f aca="false">A24*Parameters!$B$4+B24*Parameters!$B$5</f>
        <v>0.118</v>
      </c>
      <c r="D24" s="0" t="n">
        <f aca="false">SQRT(E24)</f>
        <v>0.133702094224436</v>
      </c>
      <c r="E24" s="0" t="n">
        <f aca="false">A24^2*Parameters!$B$6^2+B24^2*Parameters!$B$7^2+2*A24*B24*Parameters!$B$12</f>
        <v>0.01787625</v>
      </c>
      <c r="F24" s="0" t="n">
        <f aca="false">Parameters!$B$24+Parameters!$B$26*(C24-Parameters!$B$23)^2</f>
        <v>0.01787625</v>
      </c>
      <c r="G24" s="9" t="n">
        <f aca="false">E24-F24</f>
        <v>0</v>
      </c>
      <c r="I24" s="0" t="n">
        <v>0.21</v>
      </c>
      <c r="J24" s="3" t="n">
        <f aca="false">Parameters!$B$9+Parameters!$B$20*I24</f>
        <v>0.157936372074786</v>
      </c>
      <c r="K24" s="3" t="n">
        <f aca="false">Parameters!$B$9-Parameters!$B$20*I24</f>
        <v>-0.0579363720747861</v>
      </c>
      <c r="M24" s="0" t="n">
        <v>0.042</v>
      </c>
      <c r="N24" s="3" t="n">
        <f aca="false">Parameters!$B$9+Parameters!$B$20*SQRT(M24)</f>
        <v>0.155335113381584</v>
      </c>
      <c r="O24" s="3" t="n">
        <f aca="false">Parameters!$B$9-Parameters!$B$20*SQRT(M24)</f>
        <v>-0.0553351133815838</v>
      </c>
      <c r="P24" s="3" t="n">
        <f aca="false">Parameters!$B$9+Parameters!$B$28*M24</f>
        <v>0.204826388888889</v>
      </c>
      <c r="Q24" s="3" t="n">
        <f aca="false">Parameters!$B$17+Parameters!$B$29*(M24-Parameters!$B$18)</f>
        <v>0.163245219562184</v>
      </c>
      <c r="S24" s="0" t="n">
        <v>0.1325</v>
      </c>
      <c r="T24" s="3" t="n">
        <f aca="false">Parameters!$B$24+Parameters!$B$26*(S24-Parameters!$B$23)^2</f>
        <v>0.029025390625</v>
      </c>
      <c r="U24" s="3" t="n">
        <f aca="false">SQRT(T24)</f>
        <v>0.170368396790602</v>
      </c>
    </row>
    <row r="25" customFormat="false" ht="15" hidden="false" customHeight="false" outlineLevel="0" collapsed="false">
      <c r="A25" s="0" t="n">
        <v>0.6</v>
      </c>
      <c r="B25" s="0" t="n">
        <f aca="false">1-A25</f>
        <v>0.4</v>
      </c>
      <c r="C25" s="0" t="n">
        <f aca="false">A25*Parameters!$B$4+B25*Parameters!$B$5</f>
        <v>0.116</v>
      </c>
      <c r="D25" s="0" t="n">
        <f aca="false">SQRT(E25)</f>
        <v>0.131833227981416</v>
      </c>
      <c r="E25" s="0" t="n">
        <f aca="false">A25^2*Parameters!$B$6^2+B25^2*Parameters!$B$7^2+2*A25*B25*Parameters!$B$12</f>
        <v>0.01738</v>
      </c>
      <c r="F25" s="0" t="n">
        <f aca="false">Parameters!$B$24+Parameters!$B$26*(C25-Parameters!$B$23)^2</f>
        <v>0.01738</v>
      </c>
      <c r="G25" s="9" t="n">
        <f aca="false">E25-F25</f>
        <v>0</v>
      </c>
      <c r="I25" s="0" t="n">
        <v>0.22</v>
      </c>
      <c r="J25" s="3" t="n">
        <f aca="false">Parameters!$B$9+Parameters!$B$20*I25</f>
        <v>0.163076199316443</v>
      </c>
      <c r="K25" s="3" t="n">
        <f aca="false">Parameters!$B$9-Parameters!$B$20*I25</f>
        <v>-0.0630761993164426</v>
      </c>
      <c r="M25" s="0" t="n">
        <v>0.044</v>
      </c>
      <c r="N25" s="3" t="n">
        <f aca="false">Parameters!$B$9+Parameters!$B$20*SQRT(M25)</f>
        <v>0.157813925782306</v>
      </c>
      <c r="O25" s="3" t="n">
        <f aca="false">Parameters!$B$9-Parameters!$B$20*SQRT(M25)</f>
        <v>-0.0578139257823061</v>
      </c>
      <c r="P25" s="3" t="n">
        <f aca="false">Parameters!$B$9+Parameters!$B$28*M25</f>
        <v>0.212199074074074</v>
      </c>
      <c r="Q25" s="3" t="n">
        <f aca="false">Parameters!$B$17+Parameters!$B$29*(M25-Parameters!$B$18)</f>
        <v>0.166931562154776</v>
      </c>
      <c r="S25" s="0" t="n">
        <v>0.135</v>
      </c>
      <c r="T25" s="3" t="n">
        <f aca="false">Parameters!$B$24+Parameters!$B$26*(S25-Parameters!$B$23)^2</f>
        <v>0.0322890625</v>
      </c>
      <c r="U25" s="3" t="n">
        <f aca="false">SQRT(T25)</f>
        <v>0.179691576040726</v>
      </c>
    </row>
    <row r="26" customFormat="false" ht="15" hidden="false" customHeight="false" outlineLevel="0" collapsed="false">
      <c r="A26" s="0" t="n">
        <v>0.65</v>
      </c>
      <c r="B26" s="0" t="n">
        <f aca="false">1-A26</f>
        <v>0.35</v>
      </c>
      <c r="C26" s="0" t="n">
        <f aca="false">A26*Parameters!$B$4+B26*Parameters!$B$5</f>
        <v>0.114</v>
      </c>
      <c r="D26" s="0" t="n">
        <f aca="false">SQRT(E26)</f>
        <v>0.130905500266414</v>
      </c>
      <c r="E26" s="0" t="n">
        <f aca="false">A26^2*Parameters!$B$6^2+B26^2*Parameters!$B$7^2+2*A26*B26*Parameters!$B$12</f>
        <v>0.01713625</v>
      </c>
      <c r="F26" s="0" t="n">
        <f aca="false">Parameters!$B$24+Parameters!$B$26*(C26-Parameters!$B$23)^2</f>
        <v>0.01713625</v>
      </c>
      <c r="G26" s="9" t="n">
        <f aca="false">E26-F26</f>
        <v>0</v>
      </c>
      <c r="I26" s="0" t="n">
        <v>0.23</v>
      </c>
      <c r="J26" s="3" t="n">
        <f aca="false">Parameters!$B$9+Parameters!$B$20*I26</f>
        <v>0.168216026558099</v>
      </c>
      <c r="K26" s="3" t="n">
        <f aca="false">Parameters!$B$9-Parameters!$B$20*I26</f>
        <v>-0.0682160265580991</v>
      </c>
      <c r="M26" s="0" t="n">
        <v>0.046</v>
      </c>
      <c r="N26" s="3" t="n">
        <f aca="false">Parameters!$B$9+Parameters!$B$20*SQRT(M26)</f>
        <v>0.160237013176492</v>
      </c>
      <c r="O26" s="3" t="n">
        <f aca="false">Parameters!$B$9-Parameters!$B$20*SQRT(M26)</f>
        <v>-0.060237013176492</v>
      </c>
      <c r="P26" s="3" t="n">
        <f aca="false">Parameters!$B$9+Parameters!$B$28*M26</f>
        <v>0.219571759259259</v>
      </c>
      <c r="Q26" s="3" t="n">
        <f aca="false">Parameters!$B$17+Parameters!$B$29*(M26-Parameters!$B$18)</f>
        <v>0.170617904747369</v>
      </c>
      <c r="S26" s="0" t="n">
        <v>0.1375</v>
      </c>
      <c r="T26" s="3" t="n">
        <f aca="false">Parameters!$B$24+Parameters!$B$26*(S26-Parameters!$B$23)^2</f>
        <v>0.035947265625</v>
      </c>
      <c r="U26" s="3" t="n">
        <f aca="false">SQRT(T26)</f>
        <v>0.189597641401469</v>
      </c>
    </row>
    <row r="27" customFormat="false" ht="15" hidden="false" customHeight="false" outlineLevel="0" collapsed="false">
      <c r="A27" s="0" t="n">
        <v>0.7</v>
      </c>
      <c r="B27" s="0" t="n">
        <f aca="false">1-A27</f>
        <v>0.3</v>
      </c>
      <c r="C27" s="0" t="n">
        <f aca="false">A27*Parameters!$B$4+B27*Parameters!$B$5</f>
        <v>0.112</v>
      </c>
      <c r="D27" s="0" t="n">
        <f aca="false">SQRT(E27)</f>
        <v>0.130938917056771</v>
      </c>
      <c r="E27" s="0" t="n">
        <f aca="false">A27^2*Parameters!$B$6^2+B27^2*Parameters!$B$7^2+2*A27*B27*Parameters!$B$12</f>
        <v>0.017145</v>
      </c>
      <c r="F27" s="0" t="n">
        <f aca="false">Parameters!$B$24+Parameters!$B$26*(C27-Parameters!$B$23)^2</f>
        <v>0.017145</v>
      </c>
      <c r="G27" s="9" t="n">
        <f aca="false">E27-F27</f>
        <v>0</v>
      </c>
      <c r="I27" s="0" t="n">
        <v>0.24</v>
      </c>
      <c r="J27" s="3" t="n">
        <f aca="false">Parameters!$B$9+Parameters!$B$20*I27</f>
        <v>0.173355853799756</v>
      </c>
      <c r="K27" s="3" t="n">
        <f aca="false">Parameters!$B$9-Parameters!$B$20*I27</f>
        <v>-0.0733558537997556</v>
      </c>
      <c r="M27" s="0" t="n">
        <v>0.048</v>
      </c>
      <c r="N27" s="3" t="n">
        <f aca="false">Parameters!$B$9+Parameters!$B$20*SQRT(M27)</f>
        <v>0.162607972877392</v>
      </c>
      <c r="O27" s="3" t="n">
        <f aca="false">Parameters!$B$9-Parameters!$B$20*SQRT(M27)</f>
        <v>-0.0626079728773925</v>
      </c>
      <c r="P27" s="3" t="n">
        <f aca="false">Parameters!$B$9+Parameters!$B$28*M27</f>
        <v>0.226944444444444</v>
      </c>
      <c r="Q27" s="3" t="n">
        <f aca="false">Parameters!$B$17+Parameters!$B$29*(M27-Parameters!$B$18)</f>
        <v>0.174304247339962</v>
      </c>
      <c r="S27" s="0" t="n">
        <v>0.14</v>
      </c>
      <c r="T27" s="3" t="n">
        <f aca="false">Parameters!$B$24+Parameters!$B$26*(S27-Parameters!$B$23)^2</f>
        <v>0.04</v>
      </c>
      <c r="U27" s="3" t="n">
        <f aca="false">SQRT(T27)</f>
        <v>0.2</v>
      </c>
    </row>
    <row r="28" customFormat="false" ht="15" hidden="false" customHeight="false" outlineLevel="0" collapsed="false">
      <c r="A28" s="0" t="n">
        <v>0.75</v>
      </c>
      <c r="B28" s="0" t="n">
        <f aca="false">1-A28</f>
        <v>0.25</v>
      </c>
      <c r="C28" s="0" t="n">
        <f aca="false">A28*Parameters!$B$4+B28*Parameters!$B$5</f>
        <v>0.11</v>
      </c>
      <c r="D28" s="0" t="n">
        <f aca="false">SQRT(E28)</f>
        <v>0.131932748019588</v>
      </c>
      <c r="E28" s="0" t="n">
        <f aca="false">A28^2*Parameters!$B$6^2+B28^2*Parameters!$B$7^2+2*A28*B28*Parameters!$B$12</f>
        <v>0.01740625</v>
      </c>
      <c r="F28" s="0" t="n">
        <f aca="false">Parameters!$B$24+Parameters!$B$26*(C28-Parameters!$B$23)^2</f>
        <v>0.01740625</v>
      </c>
      <c r="G28" s="9" t="n">
        <f aca="false">E28-F28</f>
        <v>0</v>
      </c>
      <c r="I28" s="0" t="n">
        <v>0.25</v>
      </c>
      <c r="J28" s="3" t="n">
        <f aca="false">Parameters!$B$9+Parameters!$B$20*I28</f>
        <v>0.178495681041412</v>
      </c>
      <c r="K28" s="3" t="n">
        <f aca="false">Parameters!$B$9-Parameters!$B$20*I28</f>
        <v>-0.0784956810414121</v>
      </c>
      <c r="M28" s="0" t="n">
        <v>0.05</v>
      </c>
      <c r="N28" s="3" t="n">
        <f aca="false">Parameters!$B$9+Parameters!$B$20*SQRT(M28)</f>
        <v>0.164930031049491</v>
      </c>
      <c r="O28" s="3" t="n">
        <f aca="false">Parameters!$B$9-Parameters!$B$20*SQRT(M28)</f>
        <v>-0.0649300310494913</v>
      </c>
      <c r="P28" s="3" t="n">
        <f aca="false">Parameters!$B$9+Parameters!$B$28*M28</f>
        <v>0.23431712962963</v>
      </c>
      <c r="Q28" s="3" t="n">
        <f aca="false">Parameters!$B$17+Parameters!$B$29*(M28-Parameters!$B$18)</f>
        <v>0.177990589932554</v>
      </c>
      <c r="S28" s="0" t="n">
        <v>0.1425</v>
      </c>
      <c r="T28" s="3" t="n">
        <f aca="false">Parameters!$B$24+Parameters!$B$26*(S28-Parameters!$B$23)^2</f>
        <v>0.044447265625</v>
      </c>
      <c r="U28" s="3" t="n">
        <f aca="false">SQRT(T28)</f>
        <v>0.210825201588899</v>
      </c>
    </row>
    <row r="29" customFormat="false" ht="15" hidden="false" customHeight="false" outlineLevel="0" collapsed="false">
      <c r="A29" s="0" t="n">
        <v>0.8</v>
      </c>
      <c r="B29" s="0" t="n">
        <f aca="false">1-A29</f>
        <v>0.2</v>
      </c>
      <c r="C29" s="0" t="n">
        <f aca="false">A29*Parameters!$B$4+B29*Parameters!$B$5</f>
        <v>0.108</v>
      </c>
      <c r="D29" s="0" t="n">
        <f aca="false">SQRT(E29)</f>
        <v>0.133865604245452</v>
      </c>
      <c r="E29" s="0" t="n">
        <f aca="false">A29^2*Parameters!$B$6^2+B29^2*Parameters!$B$7^2+2*A29*B29*Parameters!$B$12</f>
        <v>0.01792</v>
      </c>
      <c r="F29" s="0" t="n">
        <f aca="false">Parameters!$B$24+Parameters!$B$26*(C29-Parameters!$B$23)^2</f>
        <v>0.01792</v>
      </c>
      <c r="G29" s="9" t="n">
        <f aca="false">E29-F29</f>
        <v>0</v>
      </c>
      <c r="I29" s="0" t="n">
        <v>0.26</v>
      </c>
      <c r="J29" s="3" t="n">
        <f aca="false">Parameters!$B$9+Parameters!$B$20*I29</f>
        <v>0.183635508283069</v>
      </c>
      <c r="K29" s="3" t="n">
        <f aca="false">Parameters!$B$9-Parameters!$B$20*I29</f>
        <v>-0.0836355082830686</v>
      </c>
      <c r="M29" s="0" t="n">
        <v>0.052</v>
      </c>
      <c r="N29" s="3" t="n">
        <f aca="false">Parameters!$B$9+Parameters!$B$20*SQRT(M29)</f>
        <v>0.167206094203836</v>
      </c>
      <c r="O29" s="3" t="n">
        <f aca="false">Parameters!$B$9-Parameters!$B$20*SQRT(M29)</f>
        <v>-0.0672060942038362</v>
      </c>
      <c r="P29" s="3" t="n">
        <f aca="false">Parameters!$B$9+Parameters!$B$28*M29</f>
        <v>0.241689814814815</v>
      </c>
      <c r="Q29" s="3" t="n">
        <f aca="false">Parameters!$B$17+Parameters!$B$29*(M29-Parameters!$B$18)</f>
        <v>0.181676932525147</v>
      </c>
      <c r="S29" s="0" t="n">
        <v>0.145</v>
      </c>
      <c r="T29" s="3" t="n">
        <f aca="false">Parameters!$B$24+Parameters!$B$26*(S29-Parameters!$B$23)^2</f>
        <v>0.0492890625</v>
      </c>
      <c r="U29" s="3" t="n">
        <f aca="false">SQRT(T29)</f>
        <v>0.222011401734235</v>
      </c>
    </row>
    <row r="30" customFormat="false" ht="15" hidden="false" customHeight="false" outlineLevel="0" collapsed="false">
      <c r="A30" s="0" t="n">
        <v>0.85</v>
      </c>
      <c r="B30" s="0" t="n">
        <f aca="false">1-A30</f>
        <v>0.15</v>
      </c>
      <c r="C30" s="0" t="n">
        <f aca="false">A30*Parameters!$B$4+B30*Parameters!$B$5</f>
        <v>0.106</v>
      </c>
      <c r="D30" s="0" t="n">
        <f aca="false">SQRT(E30)</f>
        <v>0.136697659087491</v>
      </c>
      <c r="E30" s="0" t="n">
        <f aca="false">A30^2*Parameters!$B$6^2+B30^2*Parameters!$B$7^2+2*A30*B30*Parameters!$B$12</f>
        <v>0.01868625</v>
      </c>
      <c r="F30" s="0" t="n">
        <f aca="false">Parameters!$B$24+Parameters!$B$26*(C30-Parameters!$B$23)^2</f>
        <v>0.01868625</v>
      </c>
      <c r="G30" s="9" t="n">
        <f aca="false">E30-F30</f>
        <v>0</v>
      </c>
      <c r="I30" s="0" t="n">
        <v>0.27</v>
      </c>
      <c r="J30" s="3" t="n">
        <f aca="false">Parameters!$B$9+Parameters!$B$20*I30</f>
        <v>0.188775335524725</v>
      </c>
      <c r="K30" s="3" t="n">
        <f aca="false">Parameters!$B$9-Parameters!$B$20*I30</f>
        <v>-0.088775335524725</v>
      </c>
      <c r="M30" s="0" t="n">
        <v>0.054</v>
      </c>
      <c r="N30" s="3" t="n">
        <f aca="false">Parameters!$B$9+Parameters!$B$20*SQRT(M30)</f>
        <v>0.169438791855913</v>
      </c>
      <c r="O30" s="3" t="n">
        <f aca="false">Parameters!$B$9-Parameters!$B$20*SQRT(M30)</f>
        <v>-0.0694387918559126</v>
      </c>
      <c r="P30" s="3" t="n">
        <f aca="false">Parameters!$B$9+Parameters!$B$28*M30</f>
        <v>0.2490625</v>
      </c>
      <c r="Q30" s="3" t="n">
        <f aca="false">Parameters!$B$17+Parameters!$B$29*(M30-Parameters!$B$18)</f>
        <v>0.185363275117739</v>
      </c>
      <c r="S30" s="0" t="n">
        <v>0.1475</v>
      </c>
      <c r="T30" s="3" t="n">
        <f aca="false">Parameters!$B$24+Parameters!$B$26*(S30-Parameters!$B$23)^2</f>
        <v>0.054525390625</v>
      </c>
      <c r="U30" s="3" t="n">
        <f aca="false">SQRT(T30)</f>
        <v>0.233506725010223</v>
      </c>
    </row>
    <row r="31" customFormat="false" ht="15" hidden="false" customHeight="false" outlineLevel="0" collapsed="false">
      <c r="A31" s="0" t="n">
        <v>0.9</v>
      </c>
      <c r="B31" s="0" t="n">
        <f aca="false">1-A31</f>
        <v>0.1</v>
      </c>
      <c r="C31" s="0" t="n">
        <f aca="false">A31*Parameters!$B$4+B31*Parameters!$B$5</f>
        <v>0.104</v>
      </c>
      <c r="D31" s="0" t="n">
        <f aca="false">SQRT(E31)</f>
        <v>0.140374499108634</v>
      </c>
      <c r="E31" s="0" t="n">
        <f aca="false">A31^2*Parameters!$B$6^2+B31^2*Parameters!$B$7^2+2*A31*B31*Parameters!$B$12</f>
        <v>0.019705</v>
      </c>
      <c r="F31" s="0" t="n">
        <f aca="false">Parameters!$B$24+Parameters!$B$26*(C31-Parameters!$B$23)^2</f>
        <v>0.019705</v>
      </c>
      <c r="G31" s="9" t="n">
        <f aca="false">E31-F31</f>
        <v>0</v>
      </c>
      <c r="I31" s="0" t="n">
        <v>0.28</v>
      </c>
      <c r="J31" s="3" t="n">
        <f aca="false">Parameters!$B$9+Parameters!$B$20*I31</f>
        <v>0.193915162766382</v>
      </c>
      <c r="K31" s="3" t="n">
        <f aca="false">Parameters!$B$9-Parameters!$B$20*I31</f>
        <v>-0.0939151627663815</v>
      </c>
      <c r="M31" s="0" t="n">
        <v>0.056</v>
      </c>
      <c r="N31" s="3" t="n">
        <f aca="false">Parameters!$B$9+Parameters!$B$20*SQRT(M31)</f>
        <v>0.171630512131954</v>
      </c>
      <c r="O31" s="3" t="n">
        <f aca="false">Parameters!$B$9-Parameters!$B$20*SQRT(M31)</f>
        <v>-0.0716305121319543</v>
      </c>
      <c r="P31" s="3" t="n">
        <f aca="false">Parameters!$B$9+Parameters!$B$28*M31</f>
        <v>0.256435185185185</v>
      </c>
      <c r="Q31" s="3" t="n">
        <f aca="false">Parameters!$B$17+Parameters!$B$29*(M31-Parameters!$B$18)</f>
        <v>0.189049617710332</v>
      </c>
      <c r="S31" s="0" t="n">
        <v>0.15</v>
      </c>
      <c r="T31" s="3" t="n">
        <f aca="false">Parameters!$B$24+Parameters!$B$26*(S31-Parameters!$B$23)^2</f>
        <v>0.06015625</v>
      </c>
      <c r="U31" s="3" t="n">
        <f aca="false">SQRT(T31)</f>
        <v>0.245267710879357</v>
      </c>
    </row>
    <row r="32" customFormat="false" ht="15" hidden="false" customHeight="false" outlineLevel="0" collapsed="false">
      <c r="A32" s="0" t="n">
        <v>0.95</v>
      </c>
      <c r="B32" s="0" t="n">
        <f aca="false">1-A32</f>
        <v>0.05</v>
      </c>
      <c r="C32" s="0" t="n">
        <f aca="false">A32*Parameters!$B$4+B32*Parameters!$B$5</f>
        <v>0.102</v>
      </c>
      <c r="D32" s="0" t="n">
        <f aca="false">SQRT(E32)</f>
        <v>0.144831798994558</v>
      </c>
      <c r="E32" s="0" t="n">
        <f aca="false">A32^2*Parameters!$B$6^2+B32^2*Parameters!$B$7^2+2*A32*B32*Parameters!$B$12</f>
        <v>0.02097625</v>
      </c>
      <c r="F32" s="0" t="n">
        <f aca="false">Parameters!$B$24+Parameters!$B$26*(C32-Parameters!$B$23)^2</f>
        <v>0.02097625</v>
      </c>
      <c r="G32" s="9" t="n">
        <f aca="false">E32-F32</f>
        <v>0</v>
      </c>
      <c r="I32" s="0" t="n">
        <v>0.29</v>
      </c>
      <c r="J32" s="3" t="n">
        <f aca="false">Parameters!$B$9+Parameters!$B$20*I32</f>
        <v>0.199054990008038</v>
      </c>
      <c r="K32" s="3" t="n">
        <f aca="false">Parameters!$B$9-Parameters!$B$20*I32</f>
        <v>-0.099054990008038</v>
      </c>
      <c r="M32" s="0" t="n">
        <v>0.058</v>
      </c>
      <c r="N32" s="3" t="n">
        <f aca="false">Parameters!$B$9+Parameters!$B$20*SQRT(M32)</f>
        <v>0.173783431698119</v>
      </c>
      <c r="O32" s="3" t="n">
        <f aca="false">Parameters!$B$9-Parameters!$B$20*SQRT(M32)</f>
        <v>-0.0737834316981193</v>
      </c>
      <c r="P32" s="3" t="n">
        <f aca="false">Parameters!$B$9+Parameters!$B$28*M32</f>
        <v>0.26380787037037</v>
      </c>
      <c r="Q32" s="3" t="n">
        <f aca="false">Parameters!$B$17+Parameters!$B$29*(M32-Parameters!$B$18)</f>
        <v>0.192735960302925</v>
      </c>
      <c r="S32" s="0" t="n">
        <v>0.1525</v>
      </c>
      <c r="T32" s="3" t="n">
        <f aca="false">Parameters!$B$24+Parameters!$B$26*(S32-Parameters!$B$23)^2</f>
        <v>0.066181640625</v>
      </c>
      <c r="U32" s="3" t="n">
        <f aca="false">SQRT(T32)</f>
        <v>0.25725792626273</v>
      </c>
    </row>
    <row r="33" customFormat="false" ht="15" hidden="false" customHeight="false" outlineLevel="0" collapsed="false">
      <c r="A33" s="0" t="n">
        <v>1</v>
      </c>
      <c r="B33" s="0" t="n">
        <f aca="false">1-A33</f>
        <v>0</v>
      </c>
      <c r="C33" s="0" t="n">
        <f aca="false">A33*Parameters!$B$4+B33*Parameters!$B$5</f>
        <v>0.1</v>
      </c>
      <c r="D33" s="0" t="n">
        <f aca="false">SQRT(E33)</f>
        <v>0.15</v>
      </c>
      <c r="E33" s="0" t="n">
        <f aca="false">A33^2*Parameters!$B$6^2+B33^2*Parameters!$B$7^2+2*A33*B33*Parameters!$B$12</f>
        <v>0.0225</v>
      </c>
      <c r="F33" s="0" t="n">
        <f aca="false">Parameters!$B$24+Parameters!$B$26*(C33-Parameters!$B$23)^2</f>
        <v>0.0225</v>
      </c>
      <c r="G33" s="9" t="n">
        <f aca="false">E33-F33</f>
        <v>0</v>
      </c>
      <c r="I33" s="0" t="n">
        <v>0.3</v>
      </c>
      <c r="J33" s="3" t="n">
        <f aca="false">Parameters!$B$9+Parameters!$B$20*I33</f>
        <v>0.204194817249694</v>
      </c>
      <c r="K33" s="3" t="n">
        <f aca="false">Parameters!$B$9-Parameters!$B$20*I33</f>
        <v>-0.104194817249694</v>
      </c>
      <c r="M33" s="0" t="n">
        <v>0.06</v>
      </c>
      <c r="N33" s="3" t="n">
        <f aca="false">Parameters!$B$9+Parameters!$B$20*SQRT(M33)</f>
        <v>0.175899541081151</v>
      </c>
      <c r="O33" s="3" t="n">
        <f aca="false">Parameters!$B$9-Parameters!$B$20*SQRT(M33)</f>
        <v>-0.0758995410811511</v>
      </c>
      <c r="P33" s="3" t="n">
        <f aca="false">Parameters!$B$9+Parameters!$B$28*M33</f>
        <v>0.271180555555556</v>
      </c>
      <c r="Q33" s="3" t="n">
        <f aca="false">Parameters!$B$17+Parameters!$B$29*(M33-Parameters!$B$18)</f>
        <v>0.196422302895517</v>
      </c>
      <c r="S33" s="0" t="n">
        <v>0.155</v>
      </c>
      <c r="T33" s="3" t="n">
        <f aca="false">Parameters!$B$24+Parameters!$B$26*(S33-Parameters!$B$23)^2</f>
        <v>0.0726015625</v>
      </c>
      <c r="U33" s="3" t="n">
        <f aca="false">SQRT(T33)</f>
        <v>0.269446771181248</v>
      </c>
    </row>
    <row r="34" customFormat="false" ht="15" hidden="false" customHeight="false" outlineLevel="0" collapsed="false">
      <c r="A34" s="0" t="n">
        <v>1.05</v>
      </c>
      <c r="B34" s="0" t="n">
        <f aca="false">1-A34</f>
        <v>-0.05</v>
      </c>
      <c r="C34" s="0" t="n">
        <f aca="false">A34*Parameters!$B$4+B34*Parameters!$B$5</f>
        <v>0.098</v>
      </c>
      <c r="D34" s="0" t="n">
        <f aca="false">SQRT(E34)</f>
        <v>0.155808375898088</v>
      </c>
      <c r="E34" s="0" t="n">
        <f aca="false">A34^2*Parameters!$B$6^2+B34^2*Parameters!$B$7^2+2*A34*B34*Parameters!$B$12</f>
        <v>0.02427625</v>
      </c>
      <c r="F34" s="0" t="n">
        <f aca="false">Parameters!$B$24+Parameters!$B$26*(C34-Parameters!$B$23)^2</f>
        <v>0.02427625</v>
      </c>
      <c r="G34" s="9" t="n">
        <f aca="false">E34-F34</f>
        <v>0</v>
      </c>
      <c r="M34" s="0" t="n">
        <v>0.062</v>
      </c>
      <c r="N34" s="3" t="n">
        <f aca="false">Parameters!$B$9+Parameters!$B$20*SQRT(M34)</f>
        <v>0.177980666219261</v>
      </c>
      <c r="O34" s="3" t="n">
        <f aca="false">Parameters!$B$9-Parameters!$B$20*SQRT(M34)</f>
        <v>-0.0779806662192612</v>
      </c>
      <c r="P34" s="3" t="n">
        <f aca="false">Parameters!$B$9+Parameters!$B$28*M34</f>
        <v>0.278553240740741</v>
      </c>
      <c r="Q34" s="3" t="n">
        <f aca="false">Parameters!$B$17+Parameters!$B$29*(M34-Parameters!$B$18)</f>
        <v>0.20010864548811</v>
      </c>
      <c r="S34" s="0" t="n">
        <v>0.1575</v>
      </c>
      <c r="T34" s="3" t="n">
        <f aca="false">Parameters!$B$24+Parameters!$B$26*(S34-Parameters!$B$23)^2</f>
        <v>0.079416015625</v>
      </c>
      <c r="U34" s="3" t="n">
        <f aca="false">SQRT(T34)</f>
        <v>0.281808473302348</v>
      </c>
    </row>
    <row r="35" customFormat="false" ht="15" hidden="false" customHeight="false" outlineLevel="0" collapsed="false">
      <c r="A35" s="0" t="n">
        <v>1.1</v>
      </c>
      <c r="B35" s="0" t="n">
        <f aca="false">1-A35</f>
        <v>-0.1</v>
      </c>
      <c r="C35" s="0" t="n">
        <f aca="false">A35*Parameters!$B$4+B35*Parameters!$B$5</f>
        <v>0.096</v>
      </c>
      <c r="D35" s="0" t="n">
        <f aca="false">SQRT(E35)</f>
        <v>0.162188162330054</v>
      </c>
      <c r="E35" s="0" t="n">
        <f aca="false">A35^2*Parameters!$B$6^2+B35^2*Parameters!$B$7^2+2*A35*B35*Parameters!$B$12</f>
        <v>0.026305</v>
      </c>
      <c r="F35" s="0" t="n">
        <f aca="false">Parameters!$B$24+Parameters!$B$26*(C35-Parameters!$B$23)^2</f>
        <v>0.026305</v>
      </c>
      <c r="G35" s="9" t="n">
        <f aca="false">E35-F35</f>
        <v>0</v>
      </c>
      <c r="M35" s="0" t="n">
        <v>0.064</v>
      </c>
      <c r="N35" s="3" t="n">
        <f aca="false">Parameters!$B$9+Parameters!$B$20*SQRT(M35)</f>
        <v>0.180028486907321</v>
      </c>
      <c r="O35" s="3" t="n">
        <f aca="false">Parameters!$B$9-Parameters!$B$20*SQRT(M35)</f>
        <v>-0.0800284869073212</v>
      </c>
      <c r="P35" s="3" t="n">
        <f aca="false">Parameters!$B$9+Parameters!$B$28*M35</f>
        <v>0.285925925925926</v>
      </c>
      <c r="Q35" s="3" t="n">
        <f aca="false">Parameters!$B$17+Parameters!$B$29*(M35-Parameters!$B$18)</f>
        <v>0.203794988080702</v>
      </c>
      <c r="S35" s="0" t="n">
        <v>0.16</v>
      </c>
      <c r="T35" s="3" t="n">
        <f aca="false">Parameters!$B$24+Parameters!$B$26*(S35-Parameters!$B$23)^2</f>
        <v>0.086625</v>
      </c>
      <c r="U35" s="3" t="n">
        <f aca="false">SQRT(T35)</f>
        <v>0.294321253055229</v>
      </c>
    </row>
    <row r="36" customFormat="false" ht="15" hidden="false" customHeight="false" outlineLevel="0" collapsed="false">
      <c r="A36" s="0" t="n">
        <v>1.15</v>
      </c>
      <c r="B36" s="0" t="n">
        <f aca="false">1-A36</f>
        <v>-0.15</v>
      </c>
      <c r="C36" s="0" t="n">
        <f aca="false">A36*Parameters!$B$4+B36*Parameters!$B$5</f>
        <v>0.094</v>
      </c>
      <c r="D36" s="0" t="n">
        <f aca="false">SQRT(E36)</f>
        <v>0.169074687638333</v>
      </c>
      <c r="E36" s="0" t="n">
        <f aca="false">A36^2*Parameters!$B$6^2+B36^2*Parameters!$B$7^2+2*A36*B36*Parameters!$B$12</f>
        <v>0.02858625</v>
      </c>
      <c r="F36" s="0" t="n">
        <f aca="false">Parameters!$B$24+Parameters!$B$26*(C36-Parameters!$B$23)^2</f>
        <v>0.02858625</v>
      </c>
      <c r="G36" s="9" t="n">
        <f aca="false">E36-F36</f>
        <v>0</v>
      </c>
      <c r="M36" s="0" t="n">
        <v>0.066</v>
      </c>
      <c r="N36" s="3" t="n">
        <f aca="false">Parameters!$B$9+Parameters!$B$20*SQRT(M36)</f>
        <v>0.182044552666473</v>
      </c>
      <c r="O36" s="3" t="n">
        <f aca="false">Parameters!$B$9-Parameters!$B$20*SQRT(M36)</f>
        <v>-0.0820445526664728</v>
      </c>
      <c r="P36" s="3" t="n">
        <f aca="false">Parameters!$B$9+Parameters!$B$28*M36</f>
        <v>0.293298611111111</v>
      </c>
      <c r="Q36" s="3" t="n">
        <f aca="false">Parameters!$B$17+Parameters!$B$29*(M36-Parameters!$B$18)</f>
        <v>0.207481330673295</v>
      </c>
    </row>
    <row r="37" customFormat="false" ht="15" hidden="false" customHeight="false" outlineLevel="0" collapsed="false">
      <c r="A37" s="0" t="n">
        <v>1.2</v>
      </c>
      <c r="B37" s="0" t="n">
        <f aca="false">1-A37</f>
        <v>-0.2</v>
      </c>
      <c r="C37" s="0" t="n">
        <f aca="false">A37*Parameters!$B$4+B37*Parameters!$B$5</f>
        <v>0.092</v>
      </c>
      <c r="D37" s="0" t="n">
        <f aca="false">SQRT(E37)</f>
        <v>0.1764086165696</v>
      </c>
      <c r="E37" s="0" t="n">
        <f aca="false">A37^2*Parameters!$B$6^2+B37^2*Parameters!$B$7^2+2*A37*B37*Parameters!$B$12</f>
        <v>0.03112</v>
      </c>
      <c r="F37" s="0" t="n">
        <f aca="false">Parameters!$B$24+Parameters!$B$26*(C37-Parameters!$B$23)^2</f>
        <v>0.03112</v>
      </c>
      <c r="G37" s="9" t="n">
        <f aca="false">E37-F37</f>
        <v>0</v>
      </c>
      <c r="M37" s="0" t="n">
        <v>0.068</v>
      </c>
      <c r="N37" s="3" t="n">
        <f aca="false">Parameters!$B$9+Parameters!$B$20*SQRT(M37)</f>
        <v>0.184030296464532</v>
      </c>
      <c r="O37" s="3" t="n">
        <f aca="false">Parameters!$B$9-Parameters!$B$20*SQRT(M37)</f>
        <v>-0.0840302964645322</v>
      </c>
      <c r="P37" s="3" t="n">
        <f aca="false">Parameters!$B$9+Parameters!$B$28*M37</f>
        <v>0.300671296296296</v>
      </c>
      <c r="Q37" s="3" t="n">
        <f aca="false">Parameters!$B$17+Parameters!$B$29*(M37-Parameters!$B$18)</f>
        <v>0.211167673265888</v>
      </c>
    </row>
    <row r="38" customFormat="false" ht="15" hidden="false" customHeight="false" outlineLevel="0" collapsed="false">
      <c r="A38" s="0" t="n">
        <v>1.25</v>
      </c>
      <c r="B38" s="0" t="n">
        <f aca="false">1-A38</f>
        <v>-0.25</v>
      </c>
      <c r="C38" s="0" t="n">
        <f aca="false">A38*Parameters!$B$4+B38*Parameters!$B$5</f>
        <v>0.09</v>
      </c>
      <c r="D38" s="0" t="n">
        <f aca="false">SQRT(E38)</f>
        <v>0.184136498283203</v>
      </c>
      <c r="E38" s="0" t="n">
        <f aca="false">A38^2*Parameters!$B$6^2+B38^2*Parameters!$B$7^2+2*A38*B38*Parameters!$B$12</f>
        <v>0.03390625</v>
      </c>
      <c r="F38" s="0" t="n">
        <f aca="false">Parameters!$B$24+Parameters!$B$26*(C38-Parameters!$B$23)^2</f>
        <v>0.03390625</v>
      </c>
      <c r="G38" s="9" t="n">
        <f aca="false">E38-F38</f>
        <v>0</v>
      </c>
      <c r="M38" s="0" t="n">
        <v>0.07</v>
      </c>
      <c r="N38" s="3" t="n">
        <f aca="false">Parameters!$B$9+Parameters!$B$20*SQRT(M38)</f>
        <v>0.185987046632581</v>
      </c>
      <c r="O38" s="3" t="n">
        <f aca="false">Parameters!$B$9-Parameters!$B$20*SQRT(M38)</f>
        <v>-0.0859870466325814</v>
      </c>
      <c r="P38" s="3" t="n">
        <f aca="false">Parameters!$B$9+Parameters!$B$28*M38</f>
        <v>0.308043981481482</v>
      </c>
      <c r="Q38" s="3" t="n">
        <f aca="false">Parameters!$B$17+Parameters!$B$29*(M38-Parameters!$B$18)</f>
        <v>0.21485401585848</v>
      </c>
    </row>
    <row r="39" customFormat="false" ht="15" hidden="false" customHeight="false" outlineLevel="0" collapsed="false">
      <c r="A39" s="0" t="n">
        <v>1.3</v>
      </c>
      <c r="B39" s="0" t="n">
        <f aca="false">1-A39</f>
        <v>-0.3</v>
      </c>
      <c r="C39" s="0" t="n">
        <f aca="false">A39*Parameters!$B$4+B39*Parameters!$B$5</f>
        <v>0.088</v>
      </c>
      <c r="D39" s="0" t="n">
        <f aca="false">SQRT(E39)</f>
        <v>0.192210821755696</v>
      </c>
      <c r="E39" s="0" t="n">
        <f aca="false">A39^2*Parameters!$B$6^2+B39^2*Parameters!$B$7^2+2*A39*B39*Parameters!$B$12</f>
        <v>0.036945</v>
      </c>
      <c r="F39" s="0" t="n">
        <f aca="false">Parameters!$B$24+Parameters!$B$26*(C39-Parameters!$B$23)^2</f>
        <v>0.036945</v>
      </c>
      <c r="G39" s="9" t="n">
        <f aca="false">E39-F39</f>
        <v>0</v>
      </c>
      <c r="M39" s="0" t="n">
        <v>0.072</v>
      </c>
      <c r="N39" s="3" t="n">
        <f aca="false">Parameters!$B$9+Parameters!$B$20*SQRT(M39)</f>
        <v>0.18791603725939</v>
      </c>
      <c r="O39" s="3" t="n">
        <f aca="false">Parameters!$B$9-Parameters!$B$20*SQRT(M39)</f>
        <v>-0.0879160372593896</v>
      </c>
      <c r="P39" s="3" t="n">
        <f aca="false">Parameters!$B$9+Parameters!$B$28*M39</f>
        <v>0.315416666666667</v>
      </c>
      <c r="Q39" s="3" t="n">
        <f aca="false">Parameters!$B$17+Parameters!$B$29*(M39-Parameters!$B$18)</f>
        <v>0.218540358451073</v>
      </c>
    </row>
    <row r="40" customFormat="false" ht="15" hidden="false" customHeight="false" outlineLevel="0" collapsed="false">
      <c r="A40" s="0" t="n">
        <v>1.35</v>
      </c>
      <c r="B40" s="0" t="n">
        <f aca="false">1-A40</f>
        <v>-0.35</v>
      </c>
      <c r="C40" s="0" t="n">
        <f aca="false">A40*Parameters!$B$4+B40*Parameters!$B$5</f>
        <v>0.086</v>
      </c>
      <c r="D40" s="0" t="n">
        <f aca="false">SQRT(E40)</f>
        <v>0.20058975547121</v>
      </c>
      <c r="E40" s="0" t="n">
        <f aca="false">A40^2*Parameters!$B$6^2+B40^2*Parameters!$B$7^2+2*A40*B40*Parameters!$B$12</f>
        <v>0.04023625</v>
      </c>
      <c r="F40" s="0" t="n">
        <f aca="false">Parameters!$B$24+Parameters!$B$26*(C40-Parameters!$B$23)^2</f>
        <v>0.04023625</v>
      </c>
      <c r="G40" s="9" t="n">
        <f aca="false">E40-F40</f>
        <v>0</v>
      </c>
      <c r="M40" s="0" t="n">
        <v>0.074</v>
      </c>
      <c r="N40" s="3" t="n">
        <f aca="false">Parameters!$B$9+Parameters!$B$20*SQRT(M40)</f>
        <v>0.189818417294771</v>
      </c>
      <c r="O40" s="3" t="n">
        <f aca="false">Parameters!$B$9-Parameters!$B$20*SQRT(M40)</f>
        <v>-0.0898184172947714</v>
      </c>
      <c r="P40" s="3" t="n">
        <f aca="false">Parameters!$B$9+Parameters!$B$28*M40</f>
        <v>0.322789351851852</v>
      </c>
      <c r="Q40" s="3" t="n">
        <f aca="false">Parameters!$B$17+Parameters!$B$29*(M40-Parameters!$B$18)</f>
        <v>0.222226701043665</v>
      </c>
    </row>
    <row r="41" customFormat="false" ht="15" hidden="false" customHeight="false" outlineLevel="0" collapsed="false">
      <c r="A41" s="0" t="n">
        <v>1.4</v>
      </c>
      <c r="B41" s="0" t="n">
        <f aca="false">1-A41</f>
        <v>-0.4</v>
      </c>
      <c r="C41" s="0" t="n">
        <f aca="false">A41*Parameters!$B$4+B41*Parameters!$B$5</f>
        <v>0.084</v>
      </c>
      <c r="D41" s="0" t="n">
        <f aca="false">SQRT(E41)</f>
        <v>0.209236708060512</v>
      </c>
      <c r="E41" s="0" t="n">
        <f aca="false">A41^2*Parameters!$B$6^2+B41^2*Parameters!$B$7^2+2*A41*B41*Parameters!$B$12</f>
        <v>0.04378</v>
      </c>
      <c r="F41" s="0" t="n">
        <f aca="false">Parameters!$B$24+Parameters!$B$26*(C41-Parameters!$B$23)^2</f>
        <v>0.04378</v>
      </c>
      <c r="G41" s="9" t="n">
        <f aca="false">E41-F41</f>
        <v>0</v>
      </c>
      <c r="M41" s="0" t="n">
        <v>0.076</v>
      </c>
      <c r="N41" s="3" t="n">
        <f aca="false">Parameters!$B$9+Parameters!$B$20*SQRT(M41)</f>
        <v>0.191695258552629</v>
      </c>
      <c r="O41" s="3" t="n">
        <f aca="false">Parameters!$B$9-Parameters!$B$20*SQRT(M41)</f>
        <v>-0.0916952585526287</v>
      </c>
      <c r="P41" s="3" t="n">
        <f aca="false">Parameters!$B$9+Parameters!$B$28*M41</f>
        <v>0.330162037037037</v>
      </c>
      <c r="Q41" s="3" t="n">
        <f aca="false">Parameters!$B$17+Parameters!$B$29*(M41-Parameters!$B$18)</f>
        <v>0.225913043636258</v>
      </c>
    </row>
    <row r="42" customFormat="false" ht="15" hidden="false" customHeight="false" outlineLevel="0" collapsed="false">
      <c r="A42" s="0" t="n">
        <v>1.45</v>
      </c>
      <c r="B42" s="0" t="n">
        <f aca="false">1-A42</f>
        <v>-0.45</v>
      </c>
      <c r="C42" s="0" t="n">
        <f aca="false">A42*Parameters!$B$4+B42*Parameters!$B$5</f>
        <v>0.082</v>
      </c>
      <c r="D42" s="0" t="n">
        <f aca="false">SQRT(E42)</f>
        <v>0.218119806528431</v>
      </c>
      <c r="E42" s="0" t="n">
        <f aca="false">A42^2*Parameters!$B$6^2+B42^2*Parameters!$B$7^2+2*A42*B42*Parameters!$B$12</f>
        <v>0.04757625</v>
      </c>
      <c r="F42" s="0" t="n">
        <f aca="false">Parameters!$B$24+Parameters!$B$26*(C42-Parameters!$B$23)^2</f>
        <v>0.04757625</v>
      </c>
      <c r="G42" s="9" t="n">
        <f aca="false">E42-F42</f>
        <v>0</v>
      </c>
      <c r="M42" s="0" t="n">
        <v>0.078</v>
      </c>
      <c r="N42" s="3" t="n">
        <f aca="false">Parameters!$B$9+Parameters!$B$20*SQRT(M42)</f>
        <v>0.193547562771988</v>
      </c>
      <c r="O42" s="3" t="n">
        <f aca="false">Parameters!$B$9-Parameters!$B$20*SQRT(M42)</f>
        <v>-0.0935475627719878</v>
      </c>
      <c r="P42" s="3" t="n">
        <f aca="false">Parameters!$B$9+Parameters!$B$28*M42</f>
        <v>0.337534722222222</v>
      </c>
      <c r="Q42" s="3" t="n">
        <f aca="false">Parameters!$B$17+Parameters!$B$29*(M42-Parameters!$B$18)</f>
        <v>0.229599386228851</v>
      </c>
    </row>
    <row r="43" customFormat="false" ht="15" hidden="false" customHeight="false" outlineLevel="0" collapsed="false">
      <c r="A43" s="0" t="n">
        <v>1.5</v>
      </c>
      <c r="B43" s="0" t="n">
        <f aca="false">1-A43</f>
        <v>-0.5</v>
      </c>
      <c r="C43" s="0" t="n">
        <f aca="false">A43*Parameters!$B$4+B43*Parameters!$B$5</f>
        <v>0.08</v>
      </c>
      <c r="D43" s="0" t="n">
        <f aca="false">SQRT(E43)</f>
        <v>0.227211355350035</v>
      </c>
      <c r="E43" s="0" t="n">
        <f aca="false">A43^2*Parameters!$B$6^2+B43^2*Parameters!$B$7^2+2*A43*B43*Parameters!$B$12</f>
        <v>0.051625</v>
      </c>
      <c r="F43" s="0" t="n">
        <f aca="false">Parameters!$B$24+Parameters!$B$26*(C43-Parameters!$B$23)^2</f>
        <v>0.051625</v>
      </c>
      <c r="G43" s="9" t="n">
        <f aca="false">E43-F43</f>
        <v>0</v>
      </c>
      <c r="M43" s="0" t="n">
        <v>0.08</v>
      </c>
      <c r="N43" s="3" t="n">
        <f aca="false">Parameters!$B$9+Parameters!$B$20*SQRT(M43)</f>
        <v>0.195376267868106</v>
      </c>
      <c r="O43" s="3" t="n">
        <f aca="false">Parameters!$B$9-Parameters!$B$20*SQRT(M43)</f>
        <v>-0.0953762678681059</v>
      </c>
      <c r="P43" s="3" t="n">
        <f aca="false">Parameters!$B$9+Parameters!$B$28*M43</f>
        <v>0.344907407407407</v>
      </c>
      <c r="Q43" s="3" t="n">
        <f aca="false">Parameters!$B$17+Parameters!$B$29*(M43-Parameters!$B$18)</f>
        <v>0.233285728821443</v>
      </c>
    </row>
    <row r="44" customFormat="false" ht="15" hidden="false" customHeight="false" outlineLevel="0" collapsed="false">
      <c r="M44" s="0" t="n">
        <v>0.082</v>
      </c>
      <c r="N44" s="0" t="n">
        <f aca="false">Parameters!$B$9+Parameters!$B$20*SQRT(M44)</f>
        <v>0.197182253484382</v>
      </c>
      <c r="O44" s="0" t="n">
        <f aca="false">Parameters!$B$9-Parameters!$B$20*SQRT(M44)</f>
        <v>-0.0971822534843816</v>
      </c>
      <c r="P44" s="0" t="n">
        <f aca="false">Parameters!$B$9+Parameters!$B$28*M44</f>
        <v>0.352280092592593</v>
      </c>
      <c r="Q44" s="0" t="n">
        <f aca="false">Parameters!$B$17+Parameters!$B$29*(M44-Parameters!$B$18)</f>
        <v>0.236972071414036</v>
      </c>
    </row>
    <row r="45" customFormat="false" ht="15" hidden="false" customHeight="false" outlineLevel="0" collapsed="false">
      <c r="M45" s="0" t="n">
        <v>0.084</v>
      </c>
      <c r="N45" s="0" t="n">
        <f aca="false">Parameters!$B$9+Parameters!$B$20*SQRT(M45)</f>
        <v>0.198966345938344</v>
      </c>
      <c r="O45" s="0" t="n">
        <f aca="false">Parameters!$B$9-Parameters!$B$20*SQRT(M45)</f>
        <v>-0.0989663459383435</v>
      </c>
      <c r="P45" s="0" t="n">
        <f aca="false">Parameters!$B$9+Parameters!$B$28*M45</f>
        <v>0.359652777777778</v>
      </c>
      <c r="Q45" s="0" t="n">
        <f aca="false">Parameters!$B$17+Parameters!$B$29*(M45-Parameters!$B$18)</f>
        <v>0.240658414006628</v>
      </c>
    </row>
    <row r="46" customFormat="false" ht="15" hidden="false" customHeight="false" outlineLevel="0" collapsed="false">
      <c r="M46" s="0" t="n">
        <v>0.086</v>
      </c>
      <c r="N46" s="0" t="n">
        <f aca="false">Parameters!$B$9+Parameters!$B$20*SQRT(M46)</f>
        <v>0.200729322640632</v>
      </c>
      <c r="O46" s="0" t="n">
        <f aca="false">Parameters!$B$9-Parameters!$B$20*SQRT(M46)</f>
        <v>-0.100729322640632</v>
      </c>
      <c r="P46" s="0" t="n">
        <f aca="false">Parameters!$B$9+Parameters!$B$28*M46</f>
        <v>0.367025462962963</v>
      </c>
      <c r="Q46" s="0" t="n">
        <f aca="false">Parameters!$B$17+Parameters!$B$29*(M46-Parameters!$B$18)</f>
        <v>0.244344756599221</v>
      </c>
    </row>
    <row r="47" customFormat="false" ht="15" hidden="false" customHeight="false" outlineLevel="0" collapsed="false">
      <c r="M47" s="0" t="n">
        <v>0.088</v>
      </c>
      <c r="N47" s="0" t="n">
        <f aca="false">Parameters!$B$9+Parameters!$B$20*SQRT(M47)</f>
        <v>0.202471916054024</v>
      </c>
      <c r="O47" s="0" t="n">
        <f aca="false">Parameters!$B$9-Parameters!$B$20*SQRT(M47)</f>
        <v>-0.102471916054024</v>
      </c>
      <c r="P47" s="0" t="n">
        <f aca="false">Parameters!$B$9+Parameters!$B$28*M47</f>
        <v>0.374398148148148</v>
      </c>
      <c r="Q47" s="0" t="n">
        <f aca="false">Parameters!$B$17+Parameters!$B$29*(M47-Parameters!$B$18)</f>
        <v>0.248031099191814</v>
      </c>
    </row>
    <row r="48" customFormat="false" ht="15" hidden="false" customHeight="false" outlineLevel="0" collapsed="false">
      <c r="M48" s="0" t="n">
        <v>0.09</v>
      </c>
      <c r="N48" s="0" t="n">
        <f aca="false">Parameters!$B$9+Parameters!$B$20*SQRT(M48)</f>
        <v>0.204194817249694</v>
      </c>
      <c r="O48" s="0" t="n">
        <f aca="false">Parameters!$B$9-Parameters!$B$20*SQRT(M48)</f>
        <v>-0.104194817249694</v>
      </c>
      <c r="P48" s="0" t="n">
        <f aca="false">Parameters!$B$9+Parameters!$B$28*M48</f>
        <v>0.381770833333333</v>
      </c>
      <c r="Q48" s="0" t="n">
        <f aca="false">Parameters!$B$17+Parameters!$B$29*(M48-Parameters!$B$18)</f>
        <v>0.251717441784406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5" min="4" style="0" width="16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4" t="s">
        <v>66</v>
      </c>
    </row>
    <row r="2" customFormat="false" ht="15" hidden="false" customHeight="false" outlineLevel="0" collapsed="false">
      <c r="A2" s="0" t="s">
        <v>67</v>
      </c>
    </row>
    <row r="4" customFormat="false" ht="28.35" hidden="false" customHeight="false" outlineLevel="0" collapsed="false">
      <c r="A4" s="7" t="s">
        <v>39</v>
      </c>
      <c r="B4" s="7" t="s">
        <v>57</v>
      </c>
      <c r="C4" s="7" t="s">
        <v>56</v>
      </c>
      <c r="D4" s="7" t="s">
        <v>68</v>
      </c>
      <c r="E4" s="7" t="s">
        <v>69</v>
      </c>
      <c r="F4" s="7" t="s">
        <v>70</v>
      </c>
      <c r="G4" s="7" t="s">
        <v>71</v>
      </c>
      <c r="H4" s="7" t="s">
        <v>72</v>
      </c>
      <c r="I4" s="7" t="s">
        <v>54</v>
      </c>
    </row>
    <row r="5" customFormat="false" ht="15" hidden="false" customHeight="false" outlineLevel="0" collapsed="false">
      <c r="A5" s="2" t="n">
        <v>-0.5</v>
      </c>
      <c r="B5" s="2" t="n">
        <f aca="false">A5*Parameters!$B$4+(1-A5)*Parameters!$B$5</f>
        <v>0.16</v>
      </c>
      <c r="C5" s="2" t="n">
        <f aca="false">A5^2*Parameters!$B$6^2+(1-A5)^2*Parameters!$B$7^2+2*A5*(1-A5)*Parameters!$B$12</f>
        <v>0.086625</v>
      </c>
      <c r="D5" s="2" t="n">
        <f aca="false">(B5-Parameters!$B$9)/C5</f>
        <v>1.26984126984127</v>
      </c>
      <c r="E5" s="2" t="n">
        <f aca="false">(Parameters!$B$4-Parameters!$B$5)/(2*(A5*Parameters!$B$6^2-(1-A5)*Parameters!$B$7^2+(1-2*A5)*Parameters!$B$12))</f>
        <v>0.337552742616034</v>
      </c>
      <c r="F5" s="2" t="n">
        <f aca="false">E5/D5</f>
        <v>0.265822784810127</v>
      </c>
      <c r="G5" s="2" t="n">
        <f aca="false">B5-E5*C5</f>
        <v>0.130759493670886</v>
      </c>
      <c r="H5" s="2" t="n">
        <f aca="false">(Parameters!$B$9+B5)/2</f>
        <v>0.105</v>
      </c>
    </row>
    <row r="6" customFormat="false" ht="15" hidden="false" customHeight="false" outlineLevel="0" collapsed="false">
      <c r="A6" s="2" t="n">
        <v>-0.2</v>
      </c>
      <c r="B6" s="2" t="n">
        <f aca="false">A6*Parameters!$B$4+(1-A6)*Parameters!$B$5</f>
        <v>0.148</v>
      </c>
      <c r="C6" s="2" t="n">
        <f aca="false">A6^2*Parameters!$B$6^2+(1-A6)^2*Parameters!$B$7^2+2*A6*(1-A6)*Parameters!$B$12</f>
        <v>0.05562</v>
      </c>
      <c r="D6" s="2" t="n">
        <f aca="false">(B6-Parameters!$B$9)/C6</f>
        <v>1.76195613088817</v>
      </c>
      <c r="E6" s="2" t="n">
        <f aca="false">(Parameters!$B$4-Parameters!$B$5)/(2*(A6*Parameters!$B$6^2-(1-A6)*Parameters!$B$7^2+(1-2*A6)*Parameters!$B$12))</f>
        <v>0.453514739229025</v>
      </c>
      <c r="F6" s="2" t="n">
        <f aca="false">E6/D6</f>
        <v>0.257392753019575</v>
      </c>
      <c r="G6" s="2" t="n">
        <f aca="false">B6-E6*C6</f>
        <v>0.122775510204082</v>
      </c>
      <c r="H6" s="2" t="n">
        <f aca="false">(Parameters!$B$9+B6)/2</f>
        <v>0.099</v>
      </c>
    </row>
    <row r="7" customFormat="false" ht="15" hidden="false" customHeight="false" outlineLevel="0" collapsed="false">
      <c r="A7" s="2" t="n">
        <v>0</v>
      </c>
      <c r="B7" s="2" t="n">
        <f aca="false">A7*Parameters!$B$4+(1-A7)*Parameters!$B$5</f>
        <v>0.14</v>
      </c>
      <c r="C7" s="2" t="n">
        <f aca="false">A7^2*Parameters!$B$6^2+(1-A7)^2*Parameters!$B$7^2+2*A7*(1-A7)*Parameters!$B$12</f>
        <v>0.04</v>
      </c>
      <c r="D7" s="2" t="n">
        <f aca="false">(B7-Parameters!$B$9)/C7</f>
        <v>2.25</v>
      </c>
      <c r="E7" s="2" t="n">
        <f aca="false">(Parameters!$B$4-Parameters!$B$5)/(2*(A7*Parameters!$B$6^2-(1-A7)*Parameters!$B$7^2+(1-2*A7)*Parameters!$B$12))</f>
        <v>0.588235294117647</v>
      </c>
      <c r="F7" s="2" t="n">
        <f aca="false">E7/D7</f>
        <v>0.261437908496732</v>
      </c>
      <c r="G7" s="2" t="n">
        <f aca="false">B7-E7*C7</f>
        <v>0.116470588235294</v>
      </c>
      <c r="H7" s="2" t="n">
        <f aca="false">(Parameters!$B$9+B7)/2</f>
        <v>0.095</v>
      </c>
    </row>
    <row r="8" customFormat="false" ht="15" hidden="false" customHeight="false" outlineLevel="0" collapsed="false">
      <c r="A8" s="2" t="n">
        <v>0.1</v>
      </c>
      <c r="B8" s="2" t="n">
        <f aca="false">A8*Parameters!$B$4+(1-A8)*Parameters!$B$5</f>
        <v>0.136</v>
      </c>
      <c r="C8" s="2" t="n">
        <f aca="false">A8^2*Parameters!$B$6^2+(1-A8)^2*Parameters!$B$7^2+2*A8*(1-A8)*Parameters!$B$12</f>
        <v>0.033705</v>
      </c>
      <c r="D8" s="2" t="n">
        <f aca="false">(B8-Parameters!$B$9)/C8</f>
        <v>2.55155021510162</v>
      </c>
      <c r="E8" s="2" t="n">
        <f aca="false">(Parameters!$B$4-Parameters!$B$5)/(2*(A8*Parameters!$B$6^2-(1-A8)*Parameters!$B$7^2+(1-2*A8)*Parameters!$B$12))</f>
        <v>0.690846286701209</v>
      </c>
      <c r="F8" s="2" t="n">
        <f aca="false">E8/D8</f>
        <v>0.270755512712375</v>
      </c>
      <c r="G8" s="2" t="n">
        <f aca="false">B8-E8*C8</f>
        <v>0.112715025906736</v>
      </c>
      <c r="H8" s="2" t="n">
        <f aca="false">(Parameters!$B$9+B8)/2</f>
        <v>0.093</v>
      </c>
    </row>
    <row r="9" customFormat="false" ht="15" hidden="false" customHeight="false" outlineLevel="0" collapsed="false">
      <c r="A9" s="2" t="n">
        <v>0.2</v>
      </c>
      <c r="B9" s="2" t="n">
        <f aca="false">A9*Parameters!$B$4+(1-A9)*Parameters!$B$5</f>
        <v>0.132</v>
      </c>
      <c r="C9" s="2" t="n">
        <f aca="false">A9^2*Parameters!$B$6^2+(1-A9)^2*Parameters!$B$7^2+2*A9*(1-A9)*Parameters!$B$12</f>
        <v>0.02842</v>
      </c>
      <c r="D9" s="2" t="n">
        <f aca="false">(B9-Parameters!$B$9)/C9</f>
        <v>2.88529204785362</v>
      </c>
      <c r="E9" s="2" t="n">
        <f aca="false">(Parameters!$B$4-Parameters!$B$5)/(2*(A9*Parameters!$B$6^2-(1-A9)*Parameters!$B$7^2+(1-2*A9)*Parameters!$B$12))</f>
        <v>0.836820083682008</v>
      </c>
      <c r="F9" s="2" t="n">
        <f aca="false">E9/D9</f>
        <v>0.290029594856618</v>
      </c>
      <c r="G9" s="2" t="n">
        <f aca="false">B9-E9*C9</f>
        <v>0.108217573221757</v>
      </c>
      <c r="H9" s="2" t="n">
        <f aca="false">(Parameters!$B$9+B9)/2</f>
        <v>0.091</v>
      </c>
    </row>
    <row r="10" customFormat="false" ht="15" hidden="false" customHeight="false" outlineLevel="0" collapsed="false">
      <c r="A10" s="2" t="n">
        <v>0.3</v>
      </c>
      <c r="B10" s="2" t="n">
        <f aca="false">A10*Parameters!$B$4+(1-A10)*Parameters!$B$5</f>
        <v>0.128</v>
      </c>
      <c r="C10" s="2" t="n">
        <f aca="false">A10^2*Parameters!$B$6^2+(1-A10)^2*Parameters!$B$7^2+2*A10*(1-A10)*Parameters!$B$12</f>
        <v>0.024145</v>
      </c>
      <c r="D10" s="2" t="n">
        <f aca="false">(B10-Parameters!$B$9)/C10</f>
        <v>3.23048250155312</v>
      </c>
      <c r="E10" s="2" t="n">
        <f aca="false">(Parameters!$B$4-Parameters!$B$5)/(2*(A10*Parameters!$B$6^2-(1-A10)*Parameters!$B$7^2+(1-2*A10)*Parameters!$B$12))</f>
        <v>1.06100795755968</v>
      </c>
      <c r="F10" s="2" t="n">
        <f aca="false">E10/D10</f>
        <v>0.328436373529212</v>
      </c>
      <c r="G10" s="2" t="n">
        <f aca="false">B10-E10*C10</f>
        <v>0.102381962864721</v>
      </c>
      <c r="H10" s="2" t="n">
        <f aca="false">(Parameters!$B$9+B10)/2</f>
        <v>0.089</v>
      </c>
    </row>
    <row r="11" customFormat="false" ht="15" hidden="false" customHeight="false" outlineLevel="0" collapsed="false">
      <c r="A11" s="2" t="n">
        <v>0.4</v>
      </c>
      <c r="B11" s="2" t="n">
        <f aca="false">A11*Parameters!$B$4+(1-A11)*Parameters!$B$5</f>
        <v>0.124</v>
      </c>
      <c r="C11" s="2" t="n">
        <f aca="false">A11^2*Parameters!$B$6^2+(1-A11)^2*Parameters!$B$7^2+2*A11*(1-A11)*Parameters!$B$12</f>
        <v>0.02088</v>
      </c>
      <c r="D11" s="2" t="n">
        <f aca="false">(B11-Parameters!$B$9)/C11</f>
        <v>3.54406130268199</v>
      </c>
      <c r="E11" s="2" t="n">
        <f aca="false">(Parameters!$B$4-Parameters!$B$5)/(2*(A11*Parameters!$B$6^2-(1-A11)*Parameters!$B$7^2+(1-2*A11)*Parameters!$B$12))</f>
        <v>1.44927536231884</v>
      </c>
      <c r="F11" s="2" t="n">
        <f aca="false">E11/D11</f>
        <v>0.408930669800235</v>
      </c>
      <c r="G11" s="2" t="n">
        <f aca="false">B11-E11*C11</f>
        <v>0.0937391304347826</v>
      </c>
      <c r="H11" s="2" t="n">
        <f aca="false">(Parameters!$B$9+B11)/2</f>
        <v>0.087</v>
      </c>
    </row>
    <row r="12" customFormat="false" ht="15" hidden="false" customHeight="false" outlineLevel="0" collapsed="false">
      <c r="A12" s="10" t="n">
        <f aca="false">Parameters!$B$15</f>
        <v>0.45839874411303</v>
      </c>
      <c r="B12" s="10" t="n">
        <f aca="false">A12*Parameters!$B$4+(1-A12)*Parameters!$B$5</f>
        <v>0.121664050235479</v>
      </c>
      <c r="C12" s="10" t="n">
        <f aca="false">A12^2*Parameters!$B$6^2+(1-A12)^2*Parameters!$B$7^2+2*A12*(1-A12)*Parameters!$B$12</f>
        <v>0.0194404205348363</v>
      </c>
      <c r="D12" s="10" t="n">
        <f aca="false">(B12-Parameters!$B$9)/C12</f>
        <v>3.68634259259259</v>
      </c>
      <c r="E12" s="10" t="n">
        <f aca="false">(Parameters!$B$4-Parameters!$B$5)/(2*(A12*Parameters!$B$6^2-(1-A12)*Parameters!$B$7^2+(1-2*A12)*Parameters!$B$12))</f>
        <v>1.8431712962963</v>
      </c>
      <c r="F12" s="10" t="n">
        <f aca="false">E12/D12</f>
        <v>0.5</v>
      </c>
      <c r="G12" s="10" t="n">
        <f aca="false">B12-E12*C12</f>
        <v>0.0858320251177394</v>
      </c>
      <c r="H12" s="10" t="n">
        <f aca="false">(Parameters!$B$9+B12)/2</f>
        <v>0.0858320251177394</v>
      </c>
      <c r="I12" s="4" t="s">
        <v>60</v>
      </c>
    </row>
    <row r="13" customFormat="false" ht="15" hidden="false" customHeight="false" outlineLevel="0" collapsed="false">
      <c r="A13" s="2" t="n">
        <v>0.5</v>
      </c>
      <c r="B13" s="2" t="n">
        <f aca="false">A13*Parameters!$B$4+(1-A13)*Parameters!$B$5</f>
        <v>0.12</v>
      </c>
      <c r="C13" s="2" t="n">
        <f aca="false">A13^2*Parameters!$B$6^2+(1-A13)^2*Parameters!$B$7^2+2*A13*(1-A13)*Parameters!$B$12</f>
        <v>0.018625</v>
      </c>
      <c r="D13" s="2" t="n">
        <f aca="false">(B13-Parameters!$B$9)/C13</f>
        <v>3.75838926174497</v>
      </c>
      <c r="E13" s="2" t="n">
        <f aca="false">(Parameters!$B$4-Parameters!$B$5)/(2*(A13*Parameters!$B$6^2-(1-A13)*Parameters!$B$7^2+(1-2*A13)*Parameters!$B$12))</f>
        <v>2.28571428571429</v>
      </c>
      <c r="F13" s="2" t="n">
        <f aca="false">E13/D13</f>
        <v>0.608163265306122</v>
      </c>
      <c r="G13" s="2" t="n">
        <f aca="false">B13-E13*C13</f>
        <v>0.0774285714285715</v>
      </c>
      <c r="H13" s="2" t="n">
        <f aca="false">(Parameters!$B$9+B13)/2</f>
        <v>0.085</v>
      </c>
    </row>
    <row r="14" customFormat="false" ht="15" hidden="false" customHeight="false" outlineLevel="0" collapsed="false">
      <c r="A14" s="2" t="n">
        <v>0.6</v>
      </c>
      <c r="B14" s="2" t="n">
        <f aca="false">A14*Parameters!$B$4+(1-A14)*Parameters!$B$5</f>
        <v>0.116</v>
      </c>
      <c r="C14" s="2" t="n">
        <f aca="false">A14^2*Parameters!$B$6^2+(1-A14)^2*Parameters!$B$7^2+2*A14*(1-A14)*Parameters!$B$12</f>
        <v>0.01738</v>
      </c>
      <c r="D14" s="2" t="n">
        <f aca="false">(B14-Parameters!$B$9)/C14</f>
        <v>3.79746835443038</v>
      </c>
      <c r="E14" s="2" t="n">
        <f aca="false">(Parameters!$B$4-Parameters!$B$5)/(2*(A14*Parameters!$B$6^2-(1-A14)*Parameters!$B$7^2+(1-2*A14)*Parameters!$B$12))</f>
        <v>5.4054054054054</v>
      </c>
      <c r="F14" s="2" t="n">
        <f aca="false">E14/D14</f>
        <v>1.42342342342342</v>
      </c>
      <c r="G14" s="2" t="n">
        <f aca="false">B14-E14*C14</f>
        <v>0.0220540540540541</v>
      </c>
      <c r="H14" s="2" t="n">
        <f aca="false">(Parameters!$B$9+B14)/2</f>
        <v>0.083</v>
      </c>
    </row>
    <row r="15" customFormat="false" ht="15" hidden="false" customHeight="false" outlineLevel="0" collapsed="false">
      <c r="A15" s="2" t="n">
        <v>0.65</v>
      </c>
      <c r="B15" s="2" t="n">
        <f aca="false">A15*Parameters!$B$4+(1-A15)*Parameters!$B$5</f>
        <v>0.114</v>
      </c>
      <c r="C15" s="2" t="n">
        <f aca="false">A15^2*Parameters!$B$6^2+(1-A15)^2*Parameters!$B$7^2+2*A15*(1-A15)*Parameters!$B$12</f>
        <v>0.01713625</v>
      </c>
      <c r="D15" s="2" t="n">
        <f aca="false">(B15-Parameters!$B$9)/C15</f>
        <v>3.7347727770078</v>
      </c>
      <c r="E15" s="2" t="n">
        <f aca="false">(Parameters!$B$4-Parameters!$B$5)/(2*(A15*Parameters!$B$6^2-(1-A15)*Parameters!$B$7^2+(1-2*A15)*Parameters!$B$12))</f>
        <v>17.0212765957446</v>
      </c>
      <c r="F15" s="2" t="n">
        <f aca="false">E15/D15</f>
        <v>4.55751329787233</v>
      </c>
      <c r="G15" s="2" t="n">
        <f aca="false">B15-E15*C15</f>
        <v>-0.177680851063829</v>
      </c>
      <c r="H15" s="2" t="n">
        <f aca="false">(Parameters!$B$9+B15)/2</f>
        <v>0.082</v>
      </c>
    </row>
    <row r="16" customFormat="false" ht="15" hidden="false" customHeight="false" outlineLevel="0" collapsed="false">
      <c r="A16" s="2" t="n">
        <v>1</v>
      </c>
      <c r="B16" s="2" t="n">
        <f aca="false">A16*Parameters!$B$4+(1-A16)*Parameters!$B$5</f>
        <v>0.1</v>
      </c>
      <c r="C16" s="2" t="n">
        <f aca="false">A16^2*Parameters!$B$6^2+(1-A16)^2*Parameters!$B$7^2+2*A16*(1-A16)*Parameters!$B$12</f>
        <v>0.0225</v>
      </c>
      <c r="D16" s="2" t="n">
        <f aca="false">(B16-Parameters!$B$9)/C16</f>
        <v>2.22222222222222</v>
      </c>
      <c r="E16" s="2" t="n">
        <f aca="false">(Parameters!$B$4-Parameters!$B$5)/(2*(A16*Parameters!$B$6^2-(1-A16)*Parameters!$B$7^2+(1-2*A16)*Parameters!$B$12))</f>
        <v>-1.21212121212121</v>
      </c>
      <c r="F16" s="2" t="n">
        <f aca="false">E16/D16</f>
        <v>-0.545454545454546</v>
      </c>
      <c r="G16" s="2" t="n">
        <f aca="false">B16-E16*C16</f>
        <v>0.127272727272727</v>
      </c>
      <c r="H16" s="2" t="n">
        <f aca="false">(Parameters!$B$9+B16)/2</f>
        <v>0.075</v>
      </c>
      <c r="I16" s="3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2026-10-25T13:58:39Z</dcterms:created>
  <dc:creator>openpyxl</dc:creator>
  <dc:description/>
  <dc:language>en-US</dc:language>
  <cp:lastModifiedBy/>
  <dcterms:modified xsi:type="dcterms:W3CDTF">2026-10-25T13:58:39Z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