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rontier" sheetId="3" state="visible" r:id="rId3"/>
    <sheet xmlns:r="http://schemas.openxmlformats.org/officeDocument/2006/relationships" name="Slo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E+00"/>
    <numFmt numFmtId="166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2" fillId="3" borderId="0" pivotButton="0" quotePrefix="0" xfId="0"/>
    <xf numFmtId="165" fontId="0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Mean–standard deviation frontier</a:t>
            </a:r>
          </a:p>
        </rich>
      </tx>
    </title>
    <plotArea>
      <scatterChart>
        <ser>
          <idx val="0"/>
          <order val="0"/>
          <tx>
            <v>Risky assets only</v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'Frontier'!$D$3:$D$43</f>
            </numRef>
          </xVal>
          <yVal>
            <numRef>
              <f>'Frontier'!$C$3:$C$43</f>
            </numRef>
          </yVal>
          <smooth val="1"/>
        </ser>
        <ser>
          <idx val="1"/>
          <order val="1"/>
          <tx>
            <v>With rf (upper CML)</v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'Frontier'!$I$3:$I$33</f>
            </numRef>
          </xVal>
          <yVal>
            <numRef>
              <f>'Frontier'!$J$3:$J$33</f>
            </numRef>
          </yVal>
          <smooth val="1"/>
        </ser>
        <ser>
          <idx val="2"/>
          <order val="2"/>
          <tx>
            <v>With rf (lower)</v>
          </tx>
          <spPr>
            <a:ln xmlns:a="http://schemas.openxmlformats.org/drawingml/2006/main" w="22000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'Frontier'!$I$3:$I$33</f>
            </numRef>
          </xVal>
          <yVal>
            <numRef>
              <f>'Frontier'!$K$3:$K$33</f>
            </numRef>
          </yVal>
          <smooth val="1"/>
        </ser>
        <ser>
          <idx val="3"/>
          <order val="3"/>
          <tx>
            <v>Asset 1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9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'Frontier'!$X$3</f>
            </numRef>
          </xVal>
          <yVal>
            <numRef>
              <f>'Frontier'!$Z$3</f>
            </numRef>
          </yVal>
        </ser>
        <ser>
          <idx val="4"/>
          <order val="4"/>
          <tx>
            <v>Asset 2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9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'Frontier'!$X$4</f>
            </numRef>
          </xVal>
          <yVal>
            <numRef>
              <f>'Frontier'!$Z$4</f>
            </numRef>
          </yVal>
        </ser>
        <ser>
          <idx val="5"/>
          <order val="5"/>
          <tx>
            <v>Tangency p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'Frontier'!$X$5</f>
            </numRef>
          </xVal>
          <yVal>
            <numRef>
              <f>'Frontier'!$Z$5</f>
            </numRef>
          </yVal>
        </ser>
        <ser>
          <idx val="6"/>
          <order val="6"/>
          <tx>
            <v>Risk-free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'Frontier'!$X$6</f>
            </numRef>
          </xVal>
          <yVal>
            <numRef>
              <f>'Frontier'!$Z$6</f>
            </numRef>
          </yVal>
        </ser>
        <ser>
          <idx val="7"/>
          <order val="7"/>
          <tx>
            <v>GMV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9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solidFill>
                  <a:srgbClr val="808080"/>
                </a:solidFill>
                <a:prstDash val="solid"/>
              </a:ln>
            </spPr>
          </marker>
          <xVal>
            <numRef>
              <f>'Frontier'!$X$7</f>
            </numRef>
          </xVal>
          <yVal>
            <numRef>
              <f>'Frontier'!$Z$7</f>
            </numRef>
          </yVal>
        </ser>
        <axId val="10"/>
        <axId val="20"/>
      </scatterChart>
      <valAx>
        <axId val="10"/>
        <scaling>
          <orientation val="minMax"/>
          <max val="0.3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Standard deviation σ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2"/>
          <min val="-0.0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μ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Mean–variance frontier</a:t>
            </a:r>
          </a:p>
        </rich>
      </tx>
    </title>
    <plotArea>
      <scatterChart>
        <ser>
          <idx val="0"/>
          <order val="0"/>
          <tx>
            <v>Risky assets: from weights (w1 grid)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xVal>
            <numRef>
              <f>'Frontier'!$E$3:$E$43</f>
            </numRef>
          </xVal>
          <yVal>
            <numRef>
              <f>'Frontier'!$C$3:$C$43</f>
            </numRef>
          </yVal>
        </ser>
        <ser>
          <idx val="1"/>
          <order val="1"/>
          <tx>
            <v>Risky assets: analytic parabola</v>
          </tx>
          <spPr>
            <a:ln xmlns:a="http://schemas.openxmlformats.org/drawingml/2006/main" w="127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'Frontier'!$T$3:$T$35</f>
            </numRef>
          </xVal>
          <yVal>
            <numRef>
              <f>'Frontier'!$S$3:$S$35</f>
            </numRef>
          </yVal>
          <smooth val="1"/>
        </ser>
        <ser>
          <idx val="2"/>
          <order val="2"/>
          <tx>
            <v>With rf: rf + SR·√σ² (Eq. 2)</v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'Frontier'!$M$3:$M$48</f>
            </numRef>
          </xVal>
          <yVal>
            <numRef>
              <f>'Frontier'!$N$3:$N$48</f>
            </numRef>
          </yVal>
          <smooth val="1"/>
        </ser>
        <ser>
          <idx val="3"/>
          <order val="3"/>
          <tx>
            <v>With rf: rf − SR·√σ²</v>
          </tx>
          <spPr>
            <a:ln xmlns:a="http://schemas.openxmlformats.org/drawingml/2006/main" w="22000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'Frontier'!$M$3:$M$48</f>
            </numRef>
          </xVal>
          <yVal>
            <numRef>
              <f>'Frontier'!$O$3:$O$48</f>
            </numRef>
          </yVal>
          <smooth val="1"/>
        </ser>
        <ser>
          <idx val="4"/>
          <order val="4"/>
          <tx>
            <v>Asset 1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9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'Frontier'!$Y$3</f>
            </numRef>
          </xVal>
          <yVal>
            <numRef>
              <f>'Frontier'!$Z$3</f>
            </numRef>
          </yVal>
        </ser>
        <ser>
          <idx val="5"/>
          <order val="5"/>
          <tx>
            <v>Asset 2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9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'Frontier'!$Y$4</f>
            </numRef>
          </xVal>
          <yVal>
            <numRef>
              <f>'Frontier'!$Z$4</f>
            </numRef>
          </yVal>
        </ser>
        <ser>
          <idx val="6"/>
          <order val="6"/>
          <tx>
            <v>Tangency p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'Frontier'!$Y$5</f>
            </numRef>
          </xVal>
          <yVal>
            <numRef>
              <f>'Frontier'!$Z$5</f>
            </numRef>
          </yVal>
        </ser>
        <ser>
          <idx val="7"/>
          <order val="7"/>
          <tx>
            <v>Risk-free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'Frontier'!$Y$6</f>
            </numRef>
          </xVal>
          <yVal>
            <numRef>
              <f>'Frontier'!$Z$6</f>
            </numRef>
          </yVal>
        </ser>
        <ser>
          <idx val="8"/>
          <order val="8"/>
          <tx>
            <v>GMV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9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solidFill>
                  <a:srgbClr val="808080"/>
                </a:solidFill>
                <a:prstDash val="solid"/>
              </a:ln>
            </spPr>
          </marker>
          <xVal>
            <numRef>
              <f>'Frontier'!$Y$7</f>
            </numRef>
          </xVal>
          <yVal>
            <numRef>
              <f>'Frontier'!$Z$7</f>
            </numRef>
          </yVal>
        </ser>
        <axId val="10"/>
        <axId val="20"/>
      </scatterChart>
      <valAx>
        <axId val="10"/>
        <scaling>
          <orientation val="minMax"/>
          <max val="0.09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σ²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2"/>
          <min val="-0.0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μ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Ray rf→p vs tangent at p (mean–variance space)</a:t>
            </a:r>
          </a:p>
        </rich>
      </tx>
    </title>
    <plotArea>
      <scatterChart>
        <ser>
          <idx val="0"/>
          <order val="0"/>
          <tx>
            <v>Risky-asset frontier</v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'Frontier'!$T$3:$T$35</f>
            </numRef>
          </xVal>
          <yVal>
            <numRef>
              <f>'Frontier'!$S$3:$S$35</f>
            </numRef>
          </yVal>
          <smooth val="1"/>
        </ser>
        <ser>
          <idx val="1"/>
          <order val="1"/>
          <tx>
            <v>Eq. 2 frontier</v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'Frontier'!$M$3:$M$48</f>
            </numRef>
          </xVal>
          <yVal>
            <numRef>
              <f>'Frontier'!$N$3:$N$48</f>
            </numRef>
          </yVal>
          <smooth val="1"/>
        </ser>
        <ser>
          <idx val="2"/>
          <order val="2"/>
          <tx>
            <v>Ray rf→p (slope (μp−rf)/σp²)</v>
          </tx>
          <spPr>
            <a:ln xmlns:a="http://schemas.openxmlformats.org/drawingml/2006/main" w="1500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'Frontier'!$M$3:$M$48</f>
            </numRef>
          </xVal>
          <yVal>
            <numRef>
              <f>'Frontier'!$P$3:$P$48</f>
            </numRef>
          </yVal>
          <smooth val="1"/>
        </ser>
        <ser>
          <idx val="3"/>
          <order val="3"/>
          <tx>
            <v>Tangent at p (slope (μp−rf)/(2σp²))</v>
          </tx>
          <spPr>
            <a:ln xmlns:a="http://schemas.openxmlformats.org/drawingml/2006/main" w="15000">
              <a:solidFill>
                <a:srgbClr val="00B05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'Frontier'!$M$3:$M$48</f>
            </numRef>
          </xVal>
          <yVal>
            <numRef>
              <f>'Frontier'!$Q$3:$Q$48</f>
            </numRef>
          </yVal>
          <smooth val="1"/>
        </ser>
        <ser>
          <idx val="4"/>
          <order val="4"/>
          <tx>
            <v>Asset 1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9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'Frontier'!$Y$3</f>
            </numRef>
          </xVal>
          <yVal>
            <numRef>
              <f>'Frontier'!$Z$3</f>
            </numRef>
          </yVal>
        </ser>
        <ser>
          <idx val="5"/>
          <order val="5"/>
          <tx>
            <v>Asset 2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9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xVal>
            <numRef>
              <f>'Frontier'!$Y$4</f>
            </numRef>
          </xVal>
          <yVal>
            <numRef>
              <f>'Frontier'!$Z$4</f>
            </numRef>
          </yVal>
        </ser>
        <ser>
          <idx val="6"/>
          <order val="6"/>
          <tx>
            <v>Tangency p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'Frontier'!$Y$5</f>
            </numRef>
          </xVal>
          <yVal>
            <numRef>
              <f>'Frontier'!$Z$5</f>
            </numRef>
          </yVal>
        </ser>
        <ser>
          <idx val="7"/>
          <order val="7"/>
          <tx>
            <v>Risk-free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'Frontier'!$Y$6</f>
            </numRef>
          </xVal>
          <yVal>
            <numRef>
              <f>'Frontier'!$Z$6</f>
            </numRef>
          </yVal>
        </ser>
        <ser>
          <idx val="8"/>
          <order val="8"/>
          <tx>
            <v>GMV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9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solidFill>
                  <a:srgbClr val="808080"/>
                </a:solidFill>
                <a:prstDash val="solid"/>
              </a:ln>
            </spPr>
          </marker>
          <xVal>
            <numRef>
              <f>'Frontier'!$Y$7</f>
            </numRef>
          </xVal>
          <yVal>
            <numRef>
              <f>'Frontier'!$Z$7</f>
            </numRef>
          </yVal>
        </ser>
        <axId val="10"/>
        <axId val="20"/>
      </scatterChart>
      <valAx>
        <axId val="10"/>
        <scaling>
          <orientation val="minMax"/>
          <max val="0.06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σ²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3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μ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Charts (data on the Frontier sheet)</t>
        </is>
      </c>
    </row>
    <row r="2">
      <c r="A2" t="inlineStr">
        <is>
          <t>Tangency weights:  w1 =</t>
        </is>
      </c>
      <c r="C2" s="2">
        <f>Parameters!$B$15</f>
        <v/>
      </c>
      <c r="D2" t="inlineStr">
        <is>
          <t>w2 =</t>
        </is>
      </c>
      <c r="E2" s="2">
        <f>Parameters!$B$16</f>
        <v/>
      </c>
      <c r="F2" t="inlineStr">
        <is>
          <t>μp =</t>
        </is>
      </c>
      <c r="G2" s="2">
        <f>Parameters!$B$17</f>
        <v/>
      </c>
      <c r="H2" t="inlineStr">
        <is>
          <t>σp =</t>
        </is>
      </c>
      <c r="I2" s="2">
        <f>Parameters!$B$19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HW1 – Two risky assets + one risk-free asset</t>
        </is>
      </c>
    </row>
    <row r="3">
      <c r="A3" s="3" t="inlineStr">
        <is>
          <t>Inputs (yellow cells can be changed)</t>
        </is>
      </c>
    </row>
    <row r="4">
      <c r="A4" t="inlineStr">
        <is>
          <t>μ1</t>
        </is>
      </c>
      <c r="B4" s="4" t="n">
        <v>0.1</v>
      </c>
    </row>
    <row r="5">
      <c r="A5" t="inlineStr">
        <is>
          <t>μ2</t>
        </is>
      </c>
      <c r="B5" s="4" t="n">
        <v>0.14</v>
      </c>
    </row>
    <row r="6">
      <c r="A6" t="inlineStr">
        <is>
          <t>σ1</t>
        </is>
      </c>
      <c r="B6" s="4" t="n">
        <v>0.15</v>
      </c>
    </row>
    <row r="7">
      <c r="A7" t="inlineStr">
        <is>
          <t>σ2</t>
        </is>
      </c>
      <c r="B7" s="4" t="n">
        <v>0.2</v>
      </c>
    </row>
    <row r="8">
      <c r="A8" t="inlineStr">
        <is>
          <t>ρ12</t>
        </is>
      </c>
      <c r="B8" s="4" t="n">
        <v>0.2</v>
      </c>
    </row>
    <row r="9">
      <c r="A9" t="inlineStr">
        <is>
          <t>rf</t>
        </is>
      </c>
      <c r="B9" s="4" t="n">
        <v>0.05</v>
      </c>
      <c r="C9" t="inlineStr">
        <is>
          <t>rf is not listed in the problem; 5% assumed – change here if your class used another value.</t>
        </is>
      </c>
    </row>
    <row r="11">
      <c r="A11" s="3" t="inlineStr">
        <is>
          <t>Derived quantities</t>
        </is>
      </c>
    </row>
    <row r="12">
      <c r="A12" t="inlineStr">
        <is>
          <t>σ12 = ρ12·σ1·σ2</t>
        </is>
      </c>
      <c r="B12" s="5">
        <f>B8*B6*B7</f>
        <v/>
      </c>
    </row>
    <row r="13">
      <c r="A13" t="inlineStr">
        <is>
          <t>μe1 = μ1 − rf</t>
        </is>
      </c>
      <c r="B13" s="5">
        <f>B4-B9</f>
        <v/>
      </c>
    </row>
    <row r="14">
      <c r="A14" t="inlineStr">
        <is>
          <t>μe2 = μ2 − rf</t>
        </is>
      </c>
      <c r="B14" s="5">
        <f>B5-B9</f>
        <v/>
      </c>
    </row>
    <row r="15">
      <c r="A15" t="inlineStr">
        <is>
          <t>w (weight on asset 1, Eq. 1)</t>
        </is>
      </c>
      <c r="B15" s="5">
        <f>(B13*B7^2-B14*B12)/(B13*B7^2+B14*B6^2-(B13+B14)*B12)</f>
        <v/>
      </c>
    </row>
    <row r="16">
      <c r="A16" t="inlineStr">
        <is>
          <t>1 − w (weight on asset 2)</t>
        </is>
      </c>
      <c r="B16" s="5">
        <f>1-B15</f>
        <v/>
      </c>
    </row>
    <row r="17">
      <c r="A17" t="inlineStr">
        <is>
          <t>μp</t>
        </is>
      </c>
      <c r="B17" s="5">
        <f>B15*B4+B16*B5</f>
        <v/>
      </c>
    </row>
    <row r="18">
      <c r="A18" t="inlineStr">
        <is>
          <t>σp²</t>
        </is>
      </c>
      <c r="B18" s="5">
        <f>B15^2*B6^2+B16^2*B7^2+2*B15*B16*B12</f>
        <v/>
      </c>
    </row>
    <row r="19">
      <c r="A19" t="inlineStr">
        <is>
          <t>σp</t>
        </is>
      </c>
      <c r="B19" s="5">
        <f>SQRT(B18)</f>
        <v/>
      </c>
    </row>
    <row r="20">
      <c r="A20" t="inlineStr">
        <is>
          <t>Sharpe ratio (μp − rf)/σp</t>
        </is>
      </c>
      <c r="B20" s="5">
        <f>(B17-B9)/B19</f>
        <v/>
      </c>
    </row>
    <row r="21">
      <c r="B21" s="5" t="n"/>
    </row>
    <row r="22">
      <c r="A22" t="inlineStr">
        <is>
          <t>w_GMV (global min-variance)</t>
        </is>
      </c>
      <c r="B22" s="5">
        <f>(B7^2-B12)/(B6^2+B7^2-2*B12)</f>
        <v/>
      </c>
    </row>
    <row r="23">
      <c r="A23" t="inlineStr">
        <is>
          <t>μ_GMV</t>
        </is>
      </c>
      <c r="B23" s="5">
        <f>B22*B4+(1-B22)*B5</f>
        <v/>
      </c>
    </row>
    <row r="24">
      <c r="A24" t="inlineStr">
        <is>
          <t>σ²_GMV</t>
        </is>
      </c>
      <c r="B24" s="5">
        <f>B22^2*B6^2+(1-B22)^2*B7^2+2*B22*(1-B22)*B12</f>
        <v/>
      </c>
    </row>
    <row r="25">
      <c r="A25" t="inlineStr">
        <is>
          <t>σ_GMV</t>
        </is>
      </c>
      <c r="B25" s="5">
        <f>SQRT(B24)</f>
        <v/>
      </c>
    </row>
    <row r="26">
      <c r="A26" t="inlineStr">
        <is>
          <t>a = (σ1²+σ2²−2σ12)/(μ2−μ1)²</t>
        </is>
      </c>
      <c r="B26" s="5">
        <f>(B6^2+B7^2-2*B12)/(B5-B4)^2</f>
        <v/>
      </c>
    </row>
    <row r="27">
      <c r="A27" t="inlineStr">
        <is>
          <t>Analytic parabola:</t>
        </is>
      </c>
      <c r="B27" t="inlineStr">
        <is>
          <t>σ² = σ²_GMV + a·(μ − μ_GMV)²</t>
        </is>
      </c>
    </row>
    <row r="28">
      <c r="A28" t="inlineStr">
        <is>
          <t>Ray slope (μp − rf)/σp²</t>
        </is>
      </c>
      <c r="B28" s="5">
        <f>(B17-B9)/B18</f>
        <v/>
      </c>
    </row>
    <row r="29">
      <c r="A29" t="inlineStr">
        <is>
          <t>Tangent slope at p = (μp − rf)/(2σp²)</t>
        </is>
      </c>
      <c r="B29" s="5">
        <f>(B17-B9)/(2*B18)</f>
        <v/>
      </c>
    </row>
    <row r="30">
      <c r="A30" t="inlineStr">
        <is>
          <t>Tangent slope ÷ ray slope</t>
        </is>
      </c>
      <c r="B30" s="5">
        <f>B29/B28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9" max="9"/>
    <col width="13" customWidth="1" min="10" max="10"/>
    <col width="13" customWidth="1" min="11" max="11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9" max="19"/>
    <col width="13" customWidth="1" min="20" max="20"/>
    <col width="13" customWidth="1" min="21" max="21"/>
    <col width="16" customWidth="1" min="23" max="23"/>
    <col width="13" customWidth="1" min="24" max="24"/>
    <col width="13" customWidth="1" min="25" max="25"/>
    <col width="13" customWidth="1" min="26" max="26"/>
  </cols>
  <sheetData>
    <row r="1">
      <c r="A1" s="3" t="inlineStr">
        <is>
          <t>Risky-asset frontier for w1 = −0.5 … 1.5 (step 0.05)</t>
        </is>
      </c>
      <c r="I1" s="3" t="inlineStr">
        <is>
          <t>With rf: mean–SD (CML)</t>
        </is>
      </c>
      <c r="M1" s="3" t="inlineStr">
        <is>
          <t>With rf: mean–variance (Eq. 2)</t>
        </is>
      </c>
      <c r="S1" s="3" t="inlineStr">
        <is>
          <t>Analytic parabola on a μ grid</t>
        </is>
      </c>
      <c r="W1" s="3" t="inlineStr">
        <is>
          <t>Key points</t>
        </is>
      </c>
    </row>
    <row r="2">
      <c r="A2" s="6" t="inlineStr">
        <is>
          <t>w1</t>
        </is>
      </c>
      <c r="B2" s="6" t="inlineStr">
        <is>
          <t>w2 = 1 − w1</t>
        </is>
      </c>
      <c r="C2" s="6" t="inlineStr">
        <is>
          <t>μc</t>
        </is>
      </c>
      <c r="D2" s="6" t="inlineStr">
        <is>
          <t>σc</t>
        </is>
      </c>
      <c r="E2" s="6" t="inlineStr">
        <is>
          <t>σc² (from weights)</t>
        </is>
      </c>
      <c r="F2" s="6" t="inlineStr">
        <is>
          <t>σc² (analytic parabola)</t>
        </is>
      </c>
      <c r="G2" s="6" t="inlineStr">
        <is>
          <t>difference</t>
        </is>
      </c>
      <c r="I2" s="7" t="inlineStr">
        <is>
          <t>σc</t>
        </is>
      </c>
      <c r="J2" s="7" t="inlineStr">
        <is>
          <t>μc upper = rf + SR·σc</t>
        </is>
      </c>
      <c r="K2" s="7" t="inlineStr">
        <is>
          <t>μc lower = rf − SR·σc</t>
        </is>
      </c>
      <c r="M2" s="7" t="inlineStr">
        <is>
          <t>σc²</t>
        </is>
      </c>
      <c r="N2" s="7" t="inlineStr">
        <is>
          <t>μc upper = rf + SR·√σc²</t>
        </is>
      </c>
      <c r="O2" s="7" t="inlineStr">
        <is>
          <t>μc lower = rf − SR·√σc²</t>
        </is>
      </c>
      <c r="P2" s="7" t="inlineStr">
        <is>
          <t>Ray rf→p: rf + [(μp−rf)/σp²]·σc²</t>
        </is>
      </c>
      <c r="Q2" s="7" t="inlineStr">
        <is>
          <t>Tangent at p: μp + [(μp−rf)/(2σp²)]·(σc²−σp²)</t>
        </is>
      </c>
      <c r="S2" s="7" t="inlineStr">
        <is>
          <t>μc</t>
        </is>
      </c>
      <c r="T2" s="7" t="inlineStr">
        <is>
          <t>σc² = σ²_GMV + a(μc − μ_GMV)²</t>
        </is>
      </c>
      <c r="U2" s="7" t="inlineStr">
        <is>
          <t>σc</t>
        </is>
      </c>
      <c r="W2" s="7" t="inlineStr">
        <is>
          <t>Point</t>
        </is>
      </c>
      <c r="X2" s="7" t="inlineStr">
        <is>
          <t>σ</t>
        </is>
      </c>
      <c r="Y2" s="7" t="inlineStr">
        <is>
          <t>σ²</t>
        </is>
      </c>
      <c r="Z2" s="7" t="inlineStr">
        <is>
          <t>μ</t>
        </is>
      </c>
    </row>
    <row r="3">
      <c r="A3" t="n">
        <v>-0.5</v>
      </c>
      <c r="B3">
        <f>1-A3</f>
        <v/>
      </c>
      <c r="C3">
        <f>A3*Parameters!$B$4+B3*Parameters!$B$5</f>
        <v/>
      </c>
      <c r="D3">
        <f>SQRT(E3)</f>
        <v/>
      </c>
      <c r="E3">
        <f>A3^2*Parameters!$B$6^2+B3^2*Parameters!$B$7^2+2*A3*B3*Parameters!$B$12</f>
        <v/>
      </c>
      <c r="F3">
        <f>Parameters!$B$24+Parameters!$B$26*(C3-Parameters!$B$23)^2</f>
        <v/>
      </c>
      <c r="G3" s="8">
        <f>E3-F3</f>
        <v/>
      </c>
      <c r="I3" t="n">
        <v>0</v>
      </c>
      <c r="J3">
        <f>Parameters!$B$9+Parameters!$B$20*I3</f>
        <v/>
      </c>
      <c r="K3">
        <f>Parameters!$B$9-Parameters!$B$20*I3</f>
        <v/>
      </c>
      <c r="M3" t="n">
        <v>0</v>
      </c>
      <c r="N3">
        <f>Parameters!$B$9+Parameters!$B$20*SQRT(M3)</f>
        <v/>
      </c>
      <c r="O3">
        <f>Parameters!$B$9-Parameters!$B$20*SQRT(M3)</f>
        <v/>
      </c>
      <c r="P3">
        <f>Parameters!$B$9+Parameters!$B$28*M3</f>
        <v/>
      </c>
      <c r="Q3">
        <f>Parameters!$B$17+Parameters!$B$29*(M3-Parameters!$B$18)</f>
        <v/>
      </c>
      <c r="S3" t="n">
        <v>0.08</v>
      </c>
      <c r="T3">
        <f>Parameters!$B$24+Parameters!$B$26*(S3-Parameters!$B$23)^2</f>
        <v/>
      </c>
      <c r="U3">
        <f>SQRT(T3)</f>
        <v/>
      </c>
      <c r="W3" t="inlineStr">
        <is>
          <t>Asset 1</t>
        </is>
      </c>
      <c r="X3">
        <f>Parameters!$B$6</f>
        <v/>
      </c>
      <c r="Y3">
        <f>X3^2</f>
        <v/>
      </c>
      <c r="Z3">
        <f>Parameters!$B$4</f>
        <v/>
      </c>
    </row>
    <row r="4">
      <c r="A4" t="n">
        <v>-0.45</v>
      </c>
      <c r="B4">
        <f>1-A4</f>
        <v/>
      </c>
      <c r="C4">
        <f>A4*Parameters!$B$4+B4*Parameters!$B$5</f>
        <v/>
      </c>
      <c r="D4">
        <f>SQRT(E4)</f>
        <v/>
      </c>
      <c r="E4">
        <f>A4^2*Parameters!$B$6^2+B4^2*Parameters!$B$7^2+2*A4*B4*Parameters!$B$12</f>
        <v/>
      </c>
      <c r="F4">
        <f>Parameters!$B$24+Parameters!$B$26*(C4-Parameters!$B$23)^2</f>
        <v/>
      </c>
      <c r="G4" s="8">
        <f>E4-F4</f>
        <v/>
      </c>
      <c r="I4" t="n">
        <v>0.01</v>
      </c>
      <c r="J4">
        <f>Parameters!$B$9+Parameters!$B$20*I4</f>
        <v/>
      </c>
      <c r="K4">
        <f>Parameters!$B$9-Parameters!$B$20*I4</f>
        <v/>
      </c>
      <c r="M4" t="n">
        <v>0.002</v>
      </c>
      <c r="N4">
        <f>Parameters!$B$9+Parameters!$B$20*SQRT(M4)</f>
        <v/>
      </c>
      <c r="O4">
        <f>Parameters!$B$9-Parameters!$B$20*SQRT(M4)</f>
        <v/>
      </c>
      <c r="P4">
        <f>Parameters!$B$9+Parameters!$B$28*M4</f>
        <v/>
      </c>
      <c r="Q4">
        <f>Parameters!$B$17+Parameters!$B$29*(M4-Parameters!$B$18)</f>
        <v/>
      </c>
      <c r="S4" t="n">
        <v>0.0825</v>
      </c>
      <c r="T4">
        <f>Parameters!$B$24+Parameters!$B$26*(S4-Parameters!$B$23)^2</f>
        <v/>
      </c>
      <c r="U4">
        <f>SQRT(T4)</f>
        <v/>
      </c>
      <c r="W4" t="inlineStr">
        <is>
          <t>Asset 2</t>
        </is>
      </c>
      <c r="X4">
        <f>Parameters!$B$7</f>
        <v/>
      </c>
      <c r="Y4">
        <f>X4^2</f>
        <v/>
      </c>
      <c r="Z4">
        <f>Parameters!$B$5</f>
        <v/>
      </c>
    </row>
    <row r="5">
      <c r="A5" t="n">
        <v>-0.4</v>
      </c>
      <c r="B5">
        <f>1-A5</f>
        <v/>
      </c>
      <c r="C5">
        <f>A5*Parameters!$B$4+B5*Parameters!$B$5</f>
        <v/>
      </c>
      <c r="D5">
        <f>SQRT(E5)</f>
        <v/>
      </c>
      <c r="E5">
        <f>A5^2*Parameters!$B$6^2+B5^2*Parameters!$B$7^2+2*A5*B5*Parameters!$B$12</f>
        <v/>
      </c>
      <c r="F5">
        <f>Parameters!$B$24+Parameters!$B$26*(C5-Parameters!$B$23)^2</f>
        <v/>
      </c>
      <c r="G5" s="8">
        <f>E5-F5</f>
        <v/>
      </c>
      <c r="I5" t="n">
        <v>0.02</v>
      </c>
      <c r="J5">
        <f>Parameters!$B$9+Parameters!$B$20*I5</f>
        <v/>
      </c>
      <c r="K5">
        <f>Parameters!$B$9-Parameters!$B$20*I5</f>
        <v/>
      </c>
      <c r="M5" t="n">
        <v>0.004</v>
      </c>
      <c r="N5">
        <f>Parameters!$B$9+Parameters!$B$20*SQRT(M5)</f>
        <v/>
      </c>
      <c r="O5">
        <f>Parameters!$B$9-Parameters!$B$20*SQRT(M5)</f>
        <v/>
      </c>
      <c r="P5">
        <f>Parameters!$B$9+Parameters!$B$28*M5</f>
        <v/>
      </c>
      <c r="Q5">
        <f>Parameters!$B$17+Parameters!$B$29*(M5-Parameters!$B$18)</f>
        <v/>
      </c>
      <c r="S5" t="n">
        <v>0.08500000000000001</v>
      </c>
      <c r="T5">
        <f>Parameters!$B$24+Parameters!$B$26*(S5-Parameters!$B$23)^2</f>
        <v/>
      </c>
      <c r="U5">
        <f>SQRT(T5)</f>
        <v/>
      </c>
      <c r="W5" t="inlineStr">
        <is>
          <t>Tangency p</t>
        </is>
      </c>
      <c r="X5">
        <f>Parameters!$B$19</f>
        <v/>
      </c>
      <c r="Y5">
        <f>X5^2</f>
        <v/>
      </c>
      <c r="Z5">
        <f>Parameters!$B$17</f>
        <v/>
      </c>
    </row>
    <row r="6">
      <c r="A6" t="n">
        <v>-0.35</v>
      </c>
      <c r="B6">
        <f>1-A6</f>
        <v/>
      </c>
      <c r="C6">
        <f>A6*Parameters!$B$4+B6*Parameters!$B$5</f>
        <v/>
      </c>
      <c r="D6">
        <f>SQRT(E6)</f>
        <v/>
      </c>
      <c r="E6">
        <f>A6^2*Parameters!$B$6^2+B6^2*Parameters!$B$7^2+2*A6*B6*Parameters!$B$12</f>
        <v/>
      </c>
      <c r="F6">
        <f>Parameters!$B$24+Parameters!$B$26*(C6-Parameters!$B$23)^2</f>
        <v/>
      </c>
      <c r="G6" s="8">
        <f>E6-F6</f>
        <v/>
      </c>
      <c r="I6" t="n">
        <v>0.03</v>
      </c>
      <c r="J6">
        <f>Parameters!$B$9+Parameters!$B$20*I6</f>
        <v/>
      </c>
      <c r="K6">
        <f>Parameters!$B$9-Parameters!$B$20*I6</f>
        <v/>
      </c>
      <c r="M6" t="n">
        <v>0.006</v>
      </c>
      <c r="N6">
        <f>Parameters!$B$9+Parameters!$B$20*SQRT(M6)</f>
        <v/>
      </c>
      <c r="O6">
        <f>Parameters!$B$9-Parameters!$B$20*SQRT(M6)</f>
        <v/>
      </c>
      <c r="P6">
        <f>Parameters!$B$9+Parameters!$B$28*M6</f>
        <v/>
      </c>
      <c r="Q6">
        <f>Parameters!$B$17+Parameters!$B$29*(M6-Parameters!$B$18)</f>
        <v/>
      </c>
      <c r="S6" t="n">
        <v>0.08749999999999999</v>
      </c>
      <c r="T6">
        <f>Parameters!$B$24+Parameters!$B$26*(S6-Parameters!$B$23)^2</f>
        <v/>
      </c>
      <c r="U6">
        <f>SQRT(T6)</f>
        <v/>
      </c>
      <c r="W6" t="inlineStr">
        <is>
          <t>Risk-free</t>
        </is>
      </c>
      <c r="X6">
        <f>0</f>
        <v/>
      </c>
      <c r="Y6">
        <f>X6^2</f>
        <v/>
      </c>
      <c r="Z6">
        <f>Parameters!$B$9</f>
        <v/>
      </c>
    </row>
    <row r="7">
      <c r="A7" t="n">
        <v>-0.3</v>
      </c>
      <c r="B7">
        <f>1-A7</f>
        <v/>
      </c>
      <c r="C7">
        <f>A7*Parameters!$B$4+B7*Parameters!$B$5</f>
        <v/>
      </c>
      <c r="D7">
        <f>SQRT(E7)</f>
        <v/>
      </c>
      <c r="E7">
        <f>A7^2*Parameters!$B$6^2+B7^2*Parameters!$B$7^2+2*A7*B7*Parameters!$B$12</f>
        <v/>
      </c>
      <c r="F7">
        <f>Parameters!$B$24+Parameters!$B$26*(C7-Parameters!$B$23)^2</f>
        <v/>
      </c>
      <c r="G7" s="8">
        <f>E7-F7</f>
        <v/>
      </c>
      <c r="I7" t="n">
        <v>0.04</v>
      </c>
      <c r="J7">
        <f>Parameters!$B$9+Parameters!$B$20*I7</f>
        <v/>
      </c>
      <c r="K7">
        <f>Parameters!$B$9-Parameters!$B$20*I7</f>
        <v/>
      </c>
      <c r="M7" t="n">
        <v>0.008</v>
      </c>
      <c r="N7">
        <f>Parameters!$B$9+Parameters!$B$20*SQRT(M7)</f>
        <v/>
      </c>
      <c r="O7">
        <f>Parameters!$B$9-Parameters!$B$20*SQRT(M7)</f>
        <v/>
      </c>
      <c r="P7">
        <f>Parameters!$B$9+Parameters!$B$28*M7</f>
        <v/>
      </c>
      <c r="Q7">
        <f>Parameters!$B$17+Parameters!$B$29*(M7-Parameters!$B$18)</f>
        <v/>
      </c>
      <c r="S7" t="n">
        <v>0.09</v>
      </c>
      <c r="T7">
        <f>Parameters!$B$24+Parameters!$B$26*(S7-Parameters!$B$23)^2</f>
        <v/>
      </c>
      <c r="U7">
        <f>SQRT(T7)</f>
        <v/>
      </c>
      <c r="W7" t="inlineStr">
        <is>
          <t>GMV</t>
        </is>
      </c>
      <c r="X7">
        <f>SQRT(Parameters!$B$24)</f>
        <v/>
      </c>
      <c r="Y7">
        <f>X7^2</f>
        <v/>
      </c>
      <c r="Z7">
        <f>Parameters!$B$23</f>
        <v/>
      </c>
    </row>
    <row r="8">
      <c r="A8" t="n">
        <v>-0.25</v>
      </c>
      <c r="B8">
        <f>1-A8</f>
        <v/>
      </c>
      <c r="C8">
        <f>A8*Parameters!$B$4+B8*Parameters!$B$5</f>
        <v/>
      </c>
      <c r="D8">
        <f>SQRT(E8)</f>
        <v/>
      </c>
      <c r="E8">
        <f>A8^2*Parameters!$B$6^2+B8^2*Parameters!$B$7^2+2*A8*B8*Parameters!$B$12</f>
        <v/>
      </c>
      <c r="F8">
        <f>Parameters!$B$24+Parameters!$B$26*(C8-Parameters!$B$23)^2</f>
        <v/>
      </c>
      <c r="G8" s="8">
        <f>E8-F8</f>
        <v/>
      </c>
      <c r="I8" t="n">
        <v>0.05</v>
      </c>
      <c r="J8">
        <f>Parameters!$B$9+Parameters!$B$20*I8</f>
        <v/>
      </c>
      <c r="K8">
        <f>Parameters!$B$9-Parameters!$B$20*I8</f>
        <v/>
      </c>
      <c r="M8" t="n">
        <v>0.01</v>
      </c>
      <c r="N8">
        <f>Parameters!$B$9+Parameters!$B$20*SQRT(M8)</f>
        <v/>
      </c>
      <c r="O8">
        <f>Parameters!$B$9-Parameters!$B$20*SQRT(M8)</f>
        <v/>
      </c>
      <c r="P8">
        <f>Parameters!$B$9+Parameters!$B$28*M8</f>
        <v/>
      </c>
      <c r="Q8">
        <f>Parameters!$B$17+Parameters!$B$29*(M8-Parameters!$B$18)</f>
        <v/>
      </c>
      <c r="S8" t="n">
        <v>0.0925</v>
      </c>
      <c r="T8">
        <f>Parameters!$B$24+Parameters!$B$26*(S8-Parameters!$B$23)^2</f>
        <v/>
      </c>
      <c r="U8">
        <f>SQRT(T8)</f>
        <v/>
      </c>
    </row>
    <row r="9">
      <c r="A9" t="n">
        <v>-0.2</v>
      </c>
      <c r="B9">
        <f>1-A9</f>
        <v/>
      </c>
      <c r="C9">
        <f>A9*Parameters!$B$4+B9*Parameters!$B$5</f>
        <v/>
      </c>
      <c r="D9">
        <f>SQRT(E9)</f>
        <v/>
      </c>
      <c r="E9">
        <f>A9^2*Parameters!$B$6^2+B9^2*Parameters!$B$7^2+2*A9*B9*Parameters!$B$12</f>
        <v/>
      </c>
      <c r="F9">
        <f>Parameters!$B$24+Parameters!$B$26*(C9-Parameters!$B$23)^2</f>
        <v/>
      </c>
      <c r="G9" s="8">
        <f>E9-F9</f>
        <v/>
      </c>
      <c r="I9" t="n">
        <v>0.06</v>
      </c>
      <c r="J9">
        <f>Parameters!$B$9+Parameters!$B$20*I9</f>
        <v/>
      </c>
      <c r="K9">
        <f>Parameters!$B$9-Parameters!$B$20*I9</f>
        <v/>
      </c>
      <c r="M9" t="n">
        <v>0.012</v>
      </c>
      <c r="N9">
        <f>Parameters!$B$9+Parameters!$B$20*SQRT(M9)</f>
        <v/>
      </c>
      <c r="O9">
        <f>Parameters!$B$9-Parameters!$B$20*SQRT(M9)</f>
        <v/>
      </c>
      <c r="P9">
        <f>Parameters!$B$9+Parameters!$B$28*M9</f>
        <v/>
      </c>
      <c r="Q9">
        <f>Parameters!$B$17+Parameters!$B$29*(M9-Parameters!$B$18)</f>
        <v/>
      </c>
      <c r="S9" t="n">
        <v>0.095</v>
      </c>
      <c r="T9">
        <f>Parameters!$B$24+Parameters!$B$26*(S9-Parameters!$B$23)^2</f>
        <v/>
      </c>
      <c r="U9">
        <f>SQRT(T9)</f>
        <v/>
      </c>
      <c r="W9" s="3" t="inlineStr">
        <is>
          <t>Tangency weights:</t>
        </is>
      </c>
    </row>
    <row r="10">
      <c r="A10" t="n">
        <v>-0.15</v>
      </c>
      <c r="B10">
        <f>1-A10</f>
        <v/>
      </c>
      <c r="C10">
        <f>A10*Parameters!$B$4+B10*Parameters!$B$5</f>
        <v/>
      </c>
      <c r="D10">
        <f>SQRT(E10)</f>
        <v/>
      </c>
      <c r="E10">
        <f>A10^2*Parameters!$B$6^2+B10^2*Parameters!$B$7^2+2*A10*B10*Parameters!$B$12</f>
        <v/>
      </c>
      <c r="F10">
        <f>Parameters!$B$24+Parameters!$B$26*(C10-Parameters!$B$23)^2</f>
        <v/>
      </c>
      <c r="G10" s="8">
        <f>E10-F10</f>
        <v/>
      </c>
      <c r="I10" t="n">
        <v>0.07000000000000001</v>
      </c>
      <c r="J10">
        <f>Parameters!$B$9+Parameters!$B$20*I10</f>
        <v/>
      </c>
      <c r="K10">
        <f>Parameters!$B$9-Parameters!$B$20*I10</f>
        <v/>
      </c>
      <c r="M10" t="n">
        <v>0.014</v>
      </c>
      <c r="N10">
        <f>Parameters!$B$9+Parameters!$B$20*SQRT(M10)</f>
        <v/>
      </c>
      <c r="O10">
        <f>Parameters!$B$9-Parameters!$B$20*SQRT(M10)</f>
        <v/>
      </c>
      <c r="P10">
        <f>Parameters!$B$9+Parameters!$B$28*M10</f>
        <v/>
      </c>
      <c r="Q10">
        <f>Parameters!$B$17+Parameters!$B$29*(M10-Parameters!$B$18)</f>
        <v/>
      </c>
      <c r="S10" t="n">
        <v>0.0975</v>
      </c>
      <c r="T10">
        <f>Parameters!$B$24+Parameters!$B$26*(S10-Parameters!$B$23)^2</f>
        <v/>
      </c>
      <c r="U10">
        <f>SQRT(T10)</f>
        <v/>
      </c>
      <c r="W10" t="inlineStr">
        <is>
          <t>w1 (asset 1)</t>
        </is>
      </c>
      <c r="X10">
        <f>Parameters!$B$15</f>
        <v/>
      </c>
    </row>
    <row r="11">
      <c r="A11" t="n">
        <v>-0.1</v>
      </c>
      <c r="B11">
        <f>1-A11</f>
        <v/>
      </c>
      <c r="C11">
        <f>A11*Parameters!$B$4+B11*Parameters!$B$5</f>
        <v/>
      </c>
      <c r="D11">
        <f>SQRT(E11)</f>
        <v/>
      </c>
      <c r="E11">
        <f>A11^2*Parameters!$B$6^2+B11^2*Parameters!$B$7^2+2*A11*B11*Parameters!$B$12</f>
        <v/>
      </c>
      <c r="F11">
        <f>Parameters!$B$24+Parameters!$B$26*(C11-Parameters!$B$23)^2</f>
        <v/>
      </c>
      <c r="G11" s="8">
        <f>E11-F11</f>
        <v/>
      </c>
      <c r="I11" t="n">
        <v>0.08</v>
      </c>
      <c r="J11">
        <f>Parameters!$B$9+Parameters!$B$20*I11</f>
        <v/>
      </c>
      <c r="K11">
        <f>Parameters!$B$9-Parameters!$B$20*I11</f>
        <v/>
      </c>
      <c r="M11" t="n">
        <v>0.016</v>
      </c>
      <c r="N11">
        <f>Parameters!$B$9+Parameters!$B$20*SQRT(M11)</f>
        <v/>
      </c>
      <c r="O11">
        <f>Parameters!$B$9-Parameters!$B$20*SQRT(M11)</f>
        <v/>
      </c>
      <c r="P11">
        <f>Parameters!$B$9+Parameters!$B$28*M11</f>
        <v/>
      </c>
      <c r="Q11">
        <f>Parameters!$B$17+Parameters!$B$29*(M11-Parameters!$B$18)</f>
        <v/>
      </c>
      <c r="S11" t="n">
        <v>0.1</v>
      </c>
      <c r="T11">
        <f>Parameters!$B$24+Parameters!$B$26*(S11-Parameters!$B$23)^2</f>
        <v/>
      </c>
      <c r="U11">
        <f>SQRT(T11)</f>
        <v/>
      </c>
      <c r="W11" t="inlineStr">
        <is>
          <t>w2 (asset 2)</t>
        </is>
      </c>
      <c r="X11">
        <f>Parameters!$B$16</f>
        <v/>
      </c>
    </row>
    <row r="12">
      <c r="A12" t="n">
        <v>-0.05</v>
      </c>
      <c r="B12">
        <f>1-A12</f>
        <v/>
      </c>
      <c r="C12">
        <f>A12*Parameters!$B$4+B12*Parameters!$B$5</f>
        <v/>
      </c>
      <c r="D12">
        <f>SQRT(E12)</f>
        <v/>
      </c>
      <c r="E12">
        <f>A12^2*Parameters!$B$6^2+B12^2*Parameters!$B$7^2+2*A12*B12*Parameters!$B$12</f>
        <v/>
      </c>
      <c r="F12">
        <f>Parameters!$B$24+Parameters!$B$26*(C12-Parameters!$B$23)^2</f>
        <v/>
      </c>
      <c r="G12" s="8">
        <f>E12-F12</f>
        <v/>
      </c>
      <c r="I12" t="n">
        <v>0.09</v>
      </c>
      <c r="J12">
        <f>Parameters!$B$9+Parameters!$B$20*I12</f>
        <v/>
      </c>
      <c r="K12">
        <f>Parameters!$B$9-Parameters!$B$20*I12</f>
        <v/>
      </c>
      <c r="M12" t="n">
        <v>0.018</v>
      </c>
      <c r="N12">
        <f>Parameters!$B$9+Parameters!$B$20*SQRT(M12)</f>
        <v/>
      </c>
      <c r="O12">
        <f>Parameters!$B$9-Parameters!$B$20*SQRT(M12)</f>
        <v/>
      </c>
      <c r="P12">
        <f>Parameters!$B$9+Parameters!$B$28*M12</f>
        <v/>
      </c>
      <c r="Q12">
        <f>Parameters!$B$17+Parameters!$B$29*(M12-Parameters!$B$18)</f>
        <v/>
      </c>
      <c r="S12" t="n">
        <v>0.1025</v>
      </c>
      <c r="T12">
        <f>Parameters!$B$24+Parameters!$B$26*(S12-Parameters!$B$23)^2</f>
        <v/>
      </c>
      <c r="U12">
        <f>SQRT(T12)</f>
        <v/>
      </c>
    </row>
    <row r="13">
      <c r="A13" t="n">
        <v>0</v>
      </c>
      <c r="B13">
        <f>1-A13</f>
        <v/>
      </c>
      <c r="C13">
        <f>A13*Parameters!$B$4+B13*Parameters!$B$5</f>
        <v/>
      </c>
      <c r="D13">
        <f>SQRT(E13)</f>
        <v/>
      </c>
      <c r="E13">
        <f>A13^2*Parameters!$B$6^2+B13^2*Parameters!$B$7^2+2*A13*B13*Parameters!$B$12</f>
        <v/>
      </c>
      <c r="F13">
        <f>Parameters!$B$24+Parameters!$B$26*(C13-Parameters!$B$23)^2</f>
        <v/>
      </c>
      <c r="G13" s="8">
        <f>E13-F13</f>
        <v/>
      </c>
      <c r="I13" t="n">
        <v>0.1</v>
      </c>
      <c r="J13">
        <f>Parameters!$B$9+Parameters!$B$20*I13</f>
        <v/>
      </c>
      <c r="K13">
        <f>Parameters!$B$9-Parameters!$B$20*I13</f>
        <v/>
      </c>
      <c r="M13" t="n">
        <v>0.02</v>
      </c>
      <c r="N13">
        <f>Parameters!$B$9+Parameters!$B$20*SQRT(M13)</f>
        <v/>
      </c>
      <c r="O13">
        <f>Parameters!$B$9-Parameters!$B$20*SQRT(M13)</f>
        <v/>
      </c>
      <c r="P13">
        <f>Parameters!$B$9+Parameters!$B$28*M13</f>
        <v/>
      </c>
      <c r="Q13">
        <f>Parameters!$B$17+Parameters!$B$29*(M13-Parameters!$B$18)</f>
        <v/>
      </c>
      <c r="S13" t="n">
        <v>0.105</v>
      </c>
      <c r="T13">
        <f>Parameters!$B$24+Parameters!$B$26*(S13-Parameters!$B$23)^2</f>
        <v/>
      </c>
      <c r="U13">
        <f>SQRT(T13)</f>
        <v/>
      </c>
    </row>
    <row r="14">
      <c r="A14" t="n">
        <v>0.05</v>
      </c>
      <c r="B14">
        <f>1-A14</f>
        <v/>
      </c>
      <c r="C14">
        <f>A14*Parameters!$B$4+B14*Parameters!$B$5</f>
        <v/>
      </c>
      <c r="D14">
        <f>SQRT(E14)</f>
        <v/>
      </c>
      <c r="E14">
        <f>A14^2*Parameters!$B$6^2+B14^2*Parameters!$B$7^2+2*A14*B14*Parameters!$B$12</f>
        <v/>
      </c>
      <c r="F14">
        <f>Parameters!$B$24+Parameters!$B$26*(C14-Parameters!$B$23)^2</f>
        <v/>
      </c>
      <c r="G14" s="8">
        <f>E14-F14</f>
        <v/>
      </c>
      <c r="I14" t="n">
        <v>0.11</v>
      </c>
      <c r="J14">
        <f>Parameters!$B$9+Parameters!$B$20*I14</f>
        <v/>
      </c>
      <c r="K14">
        <f>Parameters!$B$9-Parameters!$B$20*I14</f>
        <v/>
      </c>
      <c r="M14" t="n">
        <v>0.022</v>
      </c>
      <c r="N14">
        <f>Parameters!$B$9+Parameters!$B$20*SQRT(M14)</f>
        <v/>
      </c>
      <c r="O14">
        <f>Parameters!$B$9-Parameters!$B$20*SQRT(M14)</f>
        <v/>
      </c>
      <c r="P14">
        <f>Parameters!$B$9+Parameters!$B$28*M14</f>
        <v/>
      </c>
      <c r="Q14">
        <f>Parameters!$B$17+Parameters!$B$29*(M14-Parameters!$B$18)</f>
        <v/>
      </c>
      <c r="S14" t="n">
        <v>0.1075</v>
      </c>
      <c r="T14">
        <f>Parameters!$B$24+Parameters!$B$26*(S14-Parameters!$B$23)^2</f>
        <v/>
      </c>
      <c r="U14">
        <f>SQRT(T14)</f>
        <v/>
      </c>
    </row>
    <row r="15">
      <c r="A15" t="n">
        <v>0.1</v>
      </c>
      <c r="B15">
        <f>1-A15</f>
        <v/>
      </c>
      <c r="C15">
        <f>A15*Parameters!$B$4+B15*Parameters!$B$5</f>
        <v/>
      </c>
      <c r="D15">
        <f>SQRT(E15)</f>
        <v/>
      </c>
      <c r="E15">
        <f>A15^2*Parameters!$B$6^2+B15^2*Parameters!$B$7^2+2*A15*B15*Parameters!$B$12</f>
        <v/>
      </c>
      <c r="F15">
        <f>Parameters!$B$24+Parameters!$B$26*(C15-Parameters!$B$23)^2</f>
        <v/>
      </c>
      <c r="G15" s="8">
        <f>E15-F15</f>
        <v/>
      </c>
      <c r="I15" t="n">
        <v>0.12</v>
      </c>
      <c r="J15">
        <f>Parameters!$B$9+Parameters!$B$20*I15</f>
        <v/>
      </c>
      <c r="K15">
        <f>Parameters!$B$9-Parameters!$B$20*I15</f>
        <v/>
      </c>
      <c r="M15" t="n">
        <v>0.024</v>
      </c>
      <c r="N15">
        <f>Parameters!$B$9+Parameters!$B$20*SQRT(M15)</f>
        <v/>
      </c>
      <c r="O15">
        <f>Parameters!$B$9-Parameters!$B$20*SQRT(M15)</f>
        <v/>
      </c>
      <c r="P15">
        <f>Parameters!$B$9+Parameters!$B$28*M15</f>
        <v/>
      </c>
      <c r="Q15">
        <f>Parameters!$B$17+Parameters!$B$29*(M15-Parameters!$B$18)</f>
        <v/>
      </c>
      <c r="S15" t="n">
        <v>0.11</v>
      </c>
      <c r="T15">
        <f>Parameters!$B$24+Parameters!$B$26*(S15-Parameters!$B$23)^2</f>
        <v/>
      </c>
      <c r="U15">
        <f>SQRT(T15)</f>
        <v/>
      </c>
    </row>
    <row r="16">
      <c r="A16" t="n">
        <v>0.15</v>
      </c>
      <c r="B16">
        <f>1-A16</f>
        <v/>
      </c>
      <c r="C16">
        <f>A16*Parameters!$B$4+B16*Parameters!$B$5</f>
        <v/>
      </c>
      <c r="D16">
        <f>SQRT(E16)</f>
        <v/>
      </c>
      <c r="E16">
        <f>A16^2*Parameters!$B$6^2+B16^2*Parameters!$B$7^2+2*A16*B16*Parameters!$B$12</f>
        <v/>
      </c>
      <c r="F16">
        <f>Parameters!$B$24+Parameters!$B$26*(C16-Parameters!$B$23)^2</f>
        <v/>
      </c>
      <c r="G16" s="8">
        <f>E16-F16</f>
        <v/>
      </c>
      <c r="I16" t="n">
        <v>0.13</v>
      </c>
      <c r="J16">
        <f>Parameters!$B$9+Parameters!$B$20*I16</f>
        <v/>
      </c>
      <c r="K16">
        <f>Parameters!$B$9-Parameters!$B$20*I16</f>
        <v/>
      </c>
      <c r="M16" t="n">
        <v>0.026</v>
      </c>
      <c r="N16">
        <f>Parameters!$B$9+Parameters!$B$20*SQRT(M16)</f>
        <v/>
      </c>
      <c r="O16">
        <f>Parameters!$B$9-Parameters!$B$20*SQRT(M16)</f>
        <v/>
      </c>
      <c r="P16">
        <f>Parameters!$B$9+Parameters!$B$28*M16</f>
        <v/>
      </c>
      <c r="Q16">
        <f>Parameters!$B$17+Parameters!$B$29*(M16-Parameters!$B$18)</f>
        <v/>
      </c>
      <c r="S16" t="n">
        <v>0.1125</v>
      </c>
      <c r="T16">
        <f>Parameters!$B$24+Parameters!$B$26*(S16-Parameters!$B$23)^2</f>
        <v/>
      </c>
      <c r="U16">
        <f>SQRT(T16)</f>
        <v/>
      </c>
    </row>
    <row r="17">
      <c r="A17" t="n">
        <v>0.2</v>
      </c>
      <c r="B17">
        <f>1-A17</f>
        <v/>
      </c>
      <c r="C17">
        <f>A17*Parameters!$B$4+B17*Parameters!$B$5</f>
        <v/>
      </c>
      <c r="D17">
        <f>SQRT(E17)</f>
        <v/>
      </c>
      <c r="E17">
        <f>A17^2*Parameters!$B$6^2+B17^2*Parameters!$B$7^2+2*A17*B17*Parameters!$B$12</f>
        <v/>
      </c>
      <c r="F17">
        <f>Parameters!$B$24+Parameters!$B$26*(C17-Parameters!$B$23)^2</f>
        <v/>
      </c>
      <c r="G17" s="8">
        <f>E17-F17</f>
        <v/>
      </c>
      <c r="I17" t="n">
        <v>0.14</v>
      </c>
      <c r="J17">
        <f>Parameters!$B$9+Parameters!$B$20*I17</f>
        <v/>
      </c>
      <c r="K17">
        <f>Parameters!$B$9-Parameters!$B$20*I17</f>
        <v/>
      </c>
      <c r="M17" t="n">
        <v>0.028</v>
      </c>
      <c r="N17">
        <f>Parameters!$B$9+Parameters!$B$20*SQRT(M17)</f>
        <v/>
      </c>
      <c r="O17">
        <f>Parameters!$B$9-Parameters!$B$20*SQRT(M17)</f>
        <v/>
      </c>
      <c r="P17">
        <f>Parameters!$B$9+Parameters!$B$28*M17</f>
        <v/>
      </c>
      <c r="Q17">
        <f>Parameters!$B$17+Parameters!$B$29*(M17-Parameters!$B$18)</f>
        <v/>
      </c>
      <c r="S17" t="n">
        <v>0.115</v>
      </c>
      <c r="T17">
        <f>Parameters!$B$24+Parameters!$B$26*(S17-Parameters!$B$23)^2</f>
        <v/>
      </c>
      <c r="U17">
        <f>SQRT(T17)</f>
        <v/>
      </c>
    </row>
    <row r="18">
      <c r="A18" t="n">
        <v>0.25</v>
      </c>
      <c r="B18">
        <f>1-A18</f>
        <v/>
      </c>
      <c r="C18">
        <f>A18*Parameters!$B$4+B18*Parameters!$B$5</f>
        <v/>
      </c>
      <c r="D18">
        <f>SQRT(E18)</f>
        <v/>
      </c>
      <c r="E18">
        <f>A18^2*Parameters!$B$6^2+B18^2*Parameters!$B$7^2+2*A18*B18*Parameters!$B$12</f>
        <v/>
      </c>
      <c r="F18">
        <f>Parameters!$B$24+Parameters!$B$26*(C18-Parameters!$B$23)^2</f>
        <v/>
      </c>
      <c r="G18" s="8">
        <f>E18-F18</f>
        <v/>
      </c>
      <c r="I18" t="n">
        <v>0.15</v>
      </c>
      <c r="J18">
        <f>Parameters!$B$9+Parameters!$B$20*I18</f>
        <v/>
      </c>
      <c r="K18">
        <f>Parameters!$B$9-Parameters!$B$20*I18</f>
        <v/>
      </c>
      <c r="M18" t="n">
        <v>0.03</v>
      </c>
      <c r="N18">
        <f>Parameters!$B$9+Parameters!$B$20*SQRT(M18)</f>
        <v/>
      </c>
      <c r="O18">
        <f>Parameters!$B$9-Parameters!$B$20*SQRT(M18)</f>
        <v/>
      </c>
      <c r="P18">
        <f>Parameters!$B$9+Parameters!$B$28*M18</f>
        <v/>
      </c>
      <c r="Q18">
        <f>Parameters!$B$17+Parameters!$B$29*(M18-Parameters!$B$18)</f>
        <v/>
      </c>
      <c r="S18" t="n">
        <v>0.1175</v>
      </c>
      <c r="T18">
        <f>Parameters!$B$24+Parameters!$B$26*(S18-Parameters!$B$23)^2</f>
        <v/>
      </c>
      <c r="U18">
        <f>SQRT(T18)</f>
        <v/>
      </c>
    </row>
    <row r="19">
      <c r="A19" t="n">
        <v>0.3</v>
      </c>
      <c r="B19">
        <f>1-A19</f>
        <v/>
      </c>
      <c r="C19">
        <f>A19*Parameters!$B$4+B19*Parameters!$B$5</f>
        <v/>
      </c>
      <c r="D19">
        <f>SQRT(E19)</f>
        <v/>
      </c>
      <c r="E19">
        <f>A19^2*Parameters!$B$6^2+B19^2*Parameters!$B$7^2+2*A19*B19*Parameters!$B$12</f>
        <v/>
      </c>
      <c r="F19">
        <f>Parameters!$B$24+Parameters!$B$26*(C19-Parameters!$B$23)^2</f>
        <v/>
      </c>
      <c r="G19" s="8">
        <f>E19-F19</f>
        <v/>
      </c>
      <c r="I19" t="n">
        <v>0.16</v>
      </c>
      <c r="J19">
        <f>Parameters!$B$9+Parameters!$B$20*I19</f>
        <v/>
      </c>
      <c r="K19">
        <f>Parameters!$B$9-Parameters!$B$20*I19</f>
        <v/>
      </c>
      <c r="M19" t="n">
        <v>0.032</v>
      </c>
      <c r="N19">
        <f>Parameters!$B$9+Parameters!$B$20*SQRT(M19)</f>
        <v/>
      </c>
      <c r="O19">
        <f>Parameters!$B$9-Parameters!$B$20*SQRT(M19)</f>
        <v/>
      </c>
      <c r="P19">
        <f>Parameters!$B$9+Parameters!$B$28*M19</f>
        <v/>
      </c>
      <c r="Q19">
        <f>Parameters!$B$17+Parameters!$B$29*(M19-Parameters!$B$18)</f>
        <v/>
      </c>
      <c r="S19" t="n">
        <v>0.12</v>
      </c>
      <c r="T19">
        <f>Parameters!$B$24+Parameters!$B$26*(S19-Parameters!$B$23)^2</f>
        <v/>
      </c>
      <c r="U19">
        <f>SQRT(T19)</f>
        <v/>
      </c>
    </row>
    <row r="20">
      <c r="A20" t="n">
        <v>0.35</v>
      </c>
      <c r="B20">
        <f>1-A20</f>
        <v/>
      </c>
      <c r="C20">
        <f>A20*Parameters!$B$4+B20*Parameters!$B$5</f>
        <v/>
      </c>
      <c r="D20">
        <f>SQRT(E20)</f>
        <v/>
      </c>
      <c r="E20">
        <f>A20^2*Parameters!$B$6^2+B20^2*Parameters!$B$7^2+2*A20*B20*Parameters!$B$12</f>
        <v/>
      </c>
      <c r="F20">
        <f>Parameters!$B$24+Parameters!$B$26*(C20-Parameters!$B$23)^2</f>
        <v/>
      </c>
      <c r="G20" s="8">
        <f>E20-F20</f>
        <v/>
      </c>
      <c r="I20" t="n">
        <v>0.17</v>
      </c>
      <c r="J20">
        <f>Parameters!$B$9+Parameters!$B$20*I20</f>
        <v/>
      </c>
      <c r="K20">
        <f>Parameters!$B$9-Parameters!$B$20*I20</f>
        <v/>
      </c>
      <c r="M20" t="n">
        <v>0.034</v>
      </c>
      <c r="N20">
        <f>Parameters!$B$9+Parameters!$B$20*SQRT(M20)</f>
        <v/>
      </c>
      <c r="O20">
        <f>Parameters!$B$9-Parameters!$B$20*SQRT(M20)</f>
        <v/>
      </c>
      <c r="P20">
        <f>Parameters!$B$9+Parameters!$B$28*M20</f>
        <v/>
      </c>
      <c r="Q20">
        <f>Parameters!$B$17+Parameters!$B$29*(M20-Parameters!$B$18)</f>
        <v/>
      </c>
      <c r="S20" t="n">
        <v>0.1225</v>
      </c>
      <c r="T20">
        <f>Parameters!$B$24+Parameters!$B$26*(S20-Parameters!$B$23)^2</f>
        <v/>
      </c>
      <c r="U20">
        <f>SQRT(T20)</f>
        <v/>
      </c>
    </row>
    <row r="21">
      <c r="A21" t="n">
        <v>0.4</v>
      </c>
      <c r="B21">
        <f>1-A21</f>
        <v/>
      </c>
      <c r="C21">
        <f>A21*Parameters!$B$4+B21*Parameters!$B$5</f>
        <v/>
      </c>
      <c r="D21">
        <f>SQRT(E21)</f>
        <v/>
      </c>
      <c r="E21">
        <f>A21^2*Parameters!$B$6^2+B21^2*Parameters!$B$7^2+2*A21*B21*Parameters!$B$12</f>
        <v/>
      </c>
      <c r="F21">
        <f>Parameters!$B$24+Parameters!$B$26*(C21-Parameters!$B$23)^2</f>
        <v/>
      </c>
      <c r="G21" s="8">
        <f>E21-F21</f>
        <v/>
      </c>
      <c r="I21" t="n">
        <v>0.18</v>
      </c>
      <c r="J21">
        <f>Parameters!$B$9+Parameters!$B$20*I21</f>
        <v/>
      </c>
      <c r="K21">
        <f>Parameters!$B$9-Parameters!$B$20*I21</f>
        <v/>
      </c>
      <c r="M21" t="n">
        <v>0.036</v>
      </c>
      <c r="N21">
        <f>Parameters!$B$9+Parameters!$B$20*SQRT(M21)</f>
        <v/>
      </c>
      <c r="O21">
        <f>Parameters!$B$9-Parameters!$B$20*SQRT(M21)</f>
        <v/>
      </c>
      <c r="P21">
        <f>Parameters!$B$9+Parameters!$B$28*M21</f>
        <v/>
      </c>
      <c r="Q21">
        <f>Parameters!$B$17+Parameters!$B$29*(M21-Parameters!$B$18)</f>
        <v/>
      </c>
      <c r="S21" t="n">
        <v>0.125</v>
      </c>
      <c r="T21">
        <f>Parameters!$B$24+Parameters!$B$26*(S21-Parameters!$B$23)^2</f>
        <v/>
      </c>
      <c r="U21">
        <f>SQRT(T21)</f>
        <v/>
      </c>
    </row>
    <row r="22">
      <c r="A22" t="n">
        <v>0.45</v>
      </c>
      <c r="B22">
        <f>1-A22</f>
        <v/>
      </c>
      <c r="C22">
        <f>A22*Parameters!$B$4+B22*Parameters!$B$5</f>
        <v/>
      </c>
      <c r="D22">
        <f>SQRT(E22)</f>
        <v/>
      </c>
      <c r="E22">
        <f>A22^2*Parameters!$B$6^2+B22^2*Parameters!$B$7^2+2*A22*B22*Parameters!$B$12</f>
        <v/>
      </c>
      <c r="F22">
        <f>Parameters!$B$24+Parameters!$B$26*(C22-Parameters!$B$23)^2</f>
        <v/>
      </c>
      <c r="G22" s="8">
        <f>E22-F22</f>
        <v/>
      </c>
      <c r="I22" t="n">
        <v>0.19</v>
      </c>
      <c r="J22">
        <f>Parameters!$B$9+Parameters!$B$20*I22</f>
        <v/>
      </c>
      <c r="K22">
        <f>Parameters!$B$9-Parameters!$B$20*I22</f>
        <v/>
      </c>
      <c r="M22" t="n">
        <v>0.038</v>
      </c>
      <c r="N22">
        <f>Parameters!$B$9+Parameters!$B$20*SQRT(M22)</f>
        <v/>
      </c>
      <c r="O22">
        <f>Parameters!$B$9-Parameters!$B$20*SQRT(M22)</f>
        <v/>
      </c>
      <c r="P22">
        <f>Parameters!$B$9+Parameters!$B$28*M22</f>
        <v/>
      </c>
      <c r="Q22">
        <f>Parameters!$B$17+Parameters!$B$29*(M22-Parameters!$B$18)</f>
        <v/>
      </c>
      <c r="S22" t="n">
        <v>0.1275</v>
      </c>
      <c r="T22">
        <f>Parameters!$B$24+Parameters!$B$26*(S22-Parameters!$B$23)^2</f>
        <v/>
      </c>
      <c r="U22">
        <f>SQRT(T22)</f>
        <v/>
      </c>
    </row>
    <row r="23">
      <c r="A23" t="n">
        <v>0.5</v>
      </c>
      <c r="B23">
        <f>1-A23</f>
        <v/>
      </c>
      <c r="C23">
        <f>A23*Parameters!$B$4+B23*Parameters!$B$5</f>
        <v/>
      </c>
      <c r="D23">
        <f>SQRT(E23)</f>
        <v/>
      </c>
      <c r="E23">
        <f>A23^2*Parameters!$B$6^2+B23^2*Parameters!$B$7^2+2*A23*B23*Parameters!$B$12</f>
        <v/>
      </c>
      <c r="F23">
        <f>Parameters!$B$24+Parameters!$B$26*(C23-Parameters!$B$23)^2</f>
        <v/>
      </c>
      <c r="G23" s="8">
        <f>E23-F23</f>
        <v/>
      </c>
      <c r="I23" t="n">
        <v>0.2</v>
      </c>
      <c r="J23">
        <f>Parameters!$B$9+Parameters!$B$20*I23</f>
        <v/>
      </c>
      <c r="K23">
        <f>Parameters!$B$9-Parameters!$B$20*I23</f>
        <v/>
      </c>
      <c r="M23" t="n">
        <v>0.04</v>
      </c>
      <c r="N23">
        <f>Parameters!$B$9+Parameters!$B$20*SQRT(M23)</f>
        <v/>
      </c>
      <c r="O23">
        <f>Parameters!$B$9-Parameters!$B$20*SQRT(M23)</f>
        <v/>
      </c>
      <c r="P23">
        <f>Parameters!$B$9+Parameters!$B$28*M23</f>
        <v/>
      </c>
      <c r="Q23">
        <f>Parameters!$B$17+Parameters!$B$29*(M23-Parameters!$B$18)</f>
        <v/>
      </c>
      <c r="S23" t="n">
        <v>0.13</v>
      </c>
      <c r="T23">
        <f>Parameters!$B$24+Parameters!$B$26*(S23-Parameters!$B$23)^2</f>
        <v/>
      </c>
      <c r="U23">
        <f>SQRT(T23)</f>
        <v/>
      </c>
    </row>
    <row r="24">
      <c r="A24" t="n">
        <v>0.55</v>
      </c>
      <c r="B24">
        <f>1-A24</f>
        <v/>
      </c>
      <c r="C24">
        <f>A24*Parameters!$B$4+B24*Parameters!$B$5</f>
        <v/>
      </c>
      <c r="D24">
        <f>SQRT(E24)</f>
        <v/>
      </c>
      <c r="E24">
        <f>A24^2*Parameters!$B$6^2+B24^2*Parameters!$B$7^2+2*A24*B24*Parameters!$B$12</f>
        <v/>
      </c>
      <c r="F24">
        <f>Parameters!$B$24+Parameters!$B$26*(C24-Parameters!$B$23)^2</f>
        <v/>
      </c>
      <c r="G24" s="8">
        <f>E24-F24</f>
        <v/>
      </c>
      <c r="I24" t="n">
        <v>0.21</v>
      </c>
      <c r="J24">
        <f>Parameters!$B$9+Parameters!$B$20*I24</f>
        <v/>
      </c>
      <c r="K24">
        <f>Parameters!$B$9-Parameters!$B$20*I24</f>
        <v/>
      </c>
      <c r="M24" t="n">
        <v>0.042</v>
      </c>
      <c r="N24">
        <f>Parameters!$B$9+Parameters!$B$20*SQRT(M24)</f>
        <v/>
      </c>
      <c r="O24">
        <f>Parameters!$B$9-Parameters!$B$20*SQRT(M24)</f>
        <v/>
      </c>
      <c r="P24">
        <f>Parameters!$B$9+Parameters!$B$28*M24</f>
        <v/>
      </c>
      <c r="Q24">
        <f>Parameters!$B$17+Parameters!$B$29*(M24-Parameters!$B$18)</f>
        <v/>
      </c>
      <c r="S24" t="n">
        <v>0.1325</v>
      </c>
      <c r="T24">
        <f>Parameters!$B$24+Parameters!$B$26*(S24-Parameters!$B$23)^2</f>
        <v/>
      </c>
      <c r="U24">
        <f>SQRT(T24)</f>
        <v/>
      </c>
    </row>
    <row r="25">
      <c r="A25" t="n">
        <v>0.6</v>
      </c>
      <c r="B25">
        <f>1-A25</f>
        <v/>
      </c>
      <c r="C25">
        <f>A25*Parameters!$B$4+B25*Parameters!$B$5</f>
        <v/>
      </c>
      <c r="D25">
        <f>SQRT(E25)</f>
        <v/>
      </c>
      <c r="E25">
        <f>A25^2*Parameters!$B$6^2+B25^2*Parameters!$B$7^2+2*A25*B25*Parameters!$B$12</f>
        <v/>
      </c>
      <c r="F25">
        <f>Parameters!$B$24+Parameters!$B$26*(C25-Parameters!$B$23)^2</f>
        <v/>
      </c>
      <c r="G25" s="8">
        <f>E25-F25</f>
        <v/>
      </c>
      <c r="I25" t="n">
        <v>0.22</v>
      </c>
      <c r="J25">
        <f>Parameters!$B$9+Parameters!$B$20*I25</f>
        <v/>
      </c>
      <c r="K25">
        <f>Parameters!$B$9-Parameters!$B$20*I25</f>
        <v/>
      </c>
      <c r="M25" t="n">
        <v>0.044</v>
      </c>
      <c r="N25">
        <f>Parameters!$B$9+Parameters!$B$20*SQRT(M25)</f>
        <v/>
      </c>
      <c r="O25">
        <f>Parameters!$B$9-Parameters!$B$20*SQRT(M25)</f>
        <v/>
      </c>
      <c r="P25">
        <f>Parameters!$B$9+Parameters!$B$28*M25</f>
        <v/>
      </c>
      <c r="Q25">
        <f>Parameters!$B$17+Parameters!$B$29*(M25-Parameters!$B$18)</f>
        <v/>
      </c>
      <c r="S25" t="n">
        <v>0.135</v>
      </c>
      <c r="T25">
        <f>Parameters!$B$24+Parameters!$B$26*(S25-Parameters!$B$23)^2</f>
        <v/>
      </c>
      <c r="U25">
        <f>SQRT(T25)</f>
        <v/>
      </c>
    </row>
    <row r="26">
      <c r="A26" t="n">
        <v>0.65</v>
      </c>
      <c r="B26">
        <f>1-A26</f>
        <v/>
      </c>
      <c r="C26">
        <f>A26*Parameters!$B$4+B26*Parameters!$B$5</f>
        <v/>
      </c>
      <c r="D26">
        <f>SQRT(E26)</f>
        <v/>
      </c>
      <c r="E26">
        <f>A26^2*Parameters!$B$6^2+B26^2*Parameters!$B$7^2+2*A26*B26*Parameters!$B$12</f>
        <v/>
      </c>
      <c r="F26">
        <f>Parameters!$B$24+Parameters!$B$26*(C26-Parameters!$B$23)^2</f>
        <v/>
      </c>
      <c r="G26" s="8">
        <f>E26-F26</f>
        <v/>
      </c>
      <c r="I26" t="n">
        <v>0.23</v>
      </c>
      <c r="J26">
        <f>Parameters!$B$9+Parameters!$B$20*I26</f>
        <v/>
      </c>
      <c r="K26">
        <f>Parameters!$B$9-Parameters!$B$20*I26</f>
        <v/>
      </c>
      <c r="M26" t="n">
        <v>0.046</v>
      </c>
      <c r="N26">
        <f>Parameters!$B$9+Parameters!$B$20*SQRT(M26)</f>
        <v/>
      </c>
      <c r="O26">
        <f>Parameters!$B$9-Parameters!$B$20*SQRT(M26)</f>
        <v/>
      </c>
      <c r="P26">
        <f>Parameters!$B$9+Parameters!$B$28*M26</f>
        <v/>
      </c>
      <c r="Q26">
        <f>Parameters!$B$17+Parameters!$B$29*(M26-Parameters!$B$18)</f>
        <v/>
      </c>
      <c r="S26" t="n">
        <v>0.1375</v>
      </c>
      <c r="T26">
        <f>Parameters!$B$24+Parameters!$B$26*(S26-Parameters!$B$23)^2</f>
        <v/>
      </c>
      <c r="U26">
        <f>SQRT(T26)</f>
        <v/>
      </c>
    </row>
    <row r="27">
      <c r="A27" t="n">
        <v>0.7</v>
      </c>
      <c r="B27">
        <f>1-A27</f>
        <v/>
      </c>
      <c r="C27">
        <f>A27*Parameters!$B$4+B27*Parameters!$B$5</f>
        <v/>
      </c>
      <c r="D27">
        <f>SQRT(E27)</f>
        <v/>
      </c>
      <c r="E27">
        <f>A27^2*Parameters!$B$6^2+B27^2*Parameters!$B$7^2+2*A27*B27*Parameters!$B$12</f>
        <v/>
      </c>
      <c r="F27">
        <f>Parameters!$B$24+Parameters!$B$26*(C27-Parameters!$B$23)^2</f>
        <v/>
      </c>
      <c r="G27" s="8">
        <f>E27-F27</f>
        <v/>
      </c>
      <c r="I27" t="n">
        <v>0.24</v>
      </c>
      <c r="J27">
        <f>Parameters!$B$9+Parameters!$B$20*I27</f>
        <v/>
      </c>
      <c r="K27">
        <f>Parameters!$B$9-Parameters!$B$20*I27</f>
        <v/>
      </c>
      <c r="M27" t="n">
        <v>0.048</v>
      </c>
      <c r="N27">
        <f>Parameters!$B$9+Parameters!$B$20*SQRT(M27)</f>
        <v/>
      </c>
      <c r="O27">
        <f>Parameters!$B$9-Parameters!$B$20*SQRT(M27)</f>
        <v/>
      </c>
      <c r="P27">
        <f>Parameters!$B$9+Parameters!$B$28*M27</f>
        <v/>
      </c>
      <c r="Q27">
        <f>Parameters!$B$17+Parameters!$B$29*(M27-Parameters!$B$18)</f>
        <v/>
      </c>
      <c r="S27" t="n">
        <v>0.14</v>
      </c>
      <c r="T27">
        <f>Parameters!$B$24+Parameters!$B$26*(S27-Parameters!$B$23)^2</f>
        <v/>
      </c>
      <c r="U27">
        <f>SQRT(T27)</f>
        <v/>
      </c>
    </row>
    <row r="28">
      <c r="A28" t="n">
        <v>0.75</v>
      </c>
      <c r="B28">
        <f>1-A28</f>
        <v/>
      </c>
      <c r="C28">
        <f>A28*Parameters!$B$4+B28*Parameters!$B$5</f>
        <v/>
      </c>
      <c r="D28">
        <f>SQRT(E28)</f>
        <v/>
      </c>
      <c r="E28">
        <f>A28^2*Parameters!$B$6^2+B28^2*Parameters!$B$7^2+2*A28*B28*Parameters!$B$12</f>
        <v/>
      </c>
      <c r="F28">
        <f>Parameters!$B$24+Parameters!$B$26*(C28-Parameters!$B$23)^2</f>
        <v/>
      </c>
      <c r="G28" s="8">
        <f>E28-F28</f>
        <v/>
      </c>
      <c r="I28" t="n">
        <v>0.25</v>
      </c>
      <c r="J28">
        <f>Parameters!$B$9+Parameters!$B$20*I28</f>
        <v/>
      </c>
      <c r="K28">
        <f>Parameters!$B$9-Parameters!$B$20*I28</f>
        <v/>
      </c>
      <c r="M28" t="n">
        <v>0.05</v>
      </c>
      <c r="N28">
        <f>Parameters!$B$9+Parameters!$B$20*SQRT(M28)</f>
        <v/>
      </c>
      <c r="O28">
        <f>Parameters!$B$9-Parameters!$B$20*SQRT(M28)</f>
        <v/>
      </c>
      <c r="P28">
        <f>Parameters!$B$9+Parameters!$B$28*M28</f>
        <v/>
      </c>
      <c r="Q28">
        <f>Parameters!$B$17+Parameters!$B$29*(M28-Parameters!$B$18)</f>
        <v/>
      </c>
      <c r="S28" t="n">
        <v>0.1425</v>
      </c>
      <c r="T28">
        <f>Parameters!$B$24+Parameters!$B$26*(S28-Parameters!$B$23)^2</f>
        <v/>
      </c>
      <c r="U28">
        <f>SQRT(T28)</f>
        <v/>
      </c>
    </row>
    <row r="29">
      <c r="A29" t="n">
        <v>0.8</v>
      </c>
      <c r="B29">
        <f>1-A29</f>
        <v/>
      </c>
      <c r="C29">
        <f>A29*Parameters!$B$4+B29*Parameters!$B$5</f>
        <v/>
      </c>
      <c r="D29">
        <f>SQRT(E29)</f>
        <v/>
      </c>
      <c r="E29">
        <f>A29^2*Parameters!$B$6^2+B29^2*Parameters!$B$7^2+2*A29*B29*Parameters!$B$12</f>
        <v/>
      </c>
      <c r="F29">
        <f>Parameters!$B$24+Parameters!$B$26*(C29-Parameters!$B$23)^2</f>
        <v/>
      </c>
      <c r="G29" s="8">
        <f>E29-F29</f>
        <v/>
      </c>
      <c r="I29" t="n">
        <v>0.26</v>
      </c>
      <c r="J29">
        <f>Parameters!$B$9+Parameters!$B$20*I29</f>
        <v/>
      </c>
      <c r="K29">
        <f>Parameters!$B$9-Parameters!$B$20*I29</f>
        <v/>
      </c>
      <c r="M29" t="n">
        <v>0.052</v>
      </c>
      <c r="N29">
        <f>Parameters!$B$9+Parameters!$B$20*SQRT(M29)</f>
        <v/>
      </c>
      <c r="O29">
        <f>Parameters!$B$9-Parameters!$B$20*SQRT(M29)</f>
        <v/>
      </c>
      <c r="P29">
        <f>Parameters!$B$9+Parameters!$B$28*M29</f>
        <v/>
      </c>
      <c r="Q29">
        <f>Parameters!$B$17+Parameters!$B$29*(M29-Parameters!$B$18)</f>
        <v/>
      </c>
      <c r="S29" t="n">
        <v>0.145</v>
      </c>
      <c r="T29">
        <f>Parameters!$B$24+Parameters!$B$26*(S29-Parameters!$B$23)^2</f>
        <v/>
      </c>
      <c r="U29">
        <f>SQRT(T29)</f>
        <v/>
      </c>
    </row>
    <row r="30">
      <c r="A30" t="n">
        <v>0.85</v>
      </c>
      <c r="B30">
        <f>1-A30</f>
        <v/>
      </c>
      <c r="C30">
        <f>A30*Parameters!$B$4+B30*Parameters!$B$5</f>
        <v/>
      </c>
      <c r="D30">
        <f>SQRT(E30)</f>
        <v/>
      </c>
      <c r="E30">
        <f>A30^2*Parameters!$B$6^2+B30^2*Parameters!$B$7^2+2*A30*B30*Parameters!$B$12</f>
        <v/>
      </c>
      <c r="F30">
        <f>Parameters!$B$24+Parameters!$B$26*(C30-Parameters!$B$23)^2</f>
        <v/>
      </c>
      <c r="G30" s="8">
        <f>E30-F30</f>
        <v/>
      </c>
      <c r="I30" t="n">
        <v>0.27</v>
      </c>
      <c r="J30">
        <f>Parameters!$B$9+Parameters!$B$20*I30</f>
        <v/>
      </c>
      <c r="K30">
        <f>Parameters!$B$9-Parameters!$B$20*I30</f>
        <v/>
      </c>
      <c r="M30" t="n">
        <v>0.054</v>
      </c>
      <c r="N30">
        <f>Parameters!$B$9+Parameters!$B$20*SQRT(M30)</f>
        <v/>
      </c>
      <c r="O30">
        <f>Parameters!$B$9-Parameters!$B$20*SQRT(M30)</f>
        <v/>
      </c>
      <c r="P30">
        <f>Parameters!$B$9+Parameters!$B$28*M30</f>
        <v/>
      </c>
      <c r="Q30">
        <f>Parameters!$B$17+Parameters!$B$29*(M30-Parameters!$B$18)</f>
        <v/>
      </c>
      <c r="S30" t="n">
        <v>0.1475</v>
      </c>
      <c r="T30">
        <f>Parameters!$B$24+Parameters!$B$26*(S30-Parameters!$B$23)^2</f>
        <v/>
      </c>
      <c r="U30">
        <f>SQRT(T30)</f>
        <v/>
      </c>
    </row>
    <row r="31">
      <c r="A31" t="n">
        <v>0.9</v>
      </c>
      <c r="B31">
        <f>1-A31</f>
        <v/>
      </c>
      <c r="C31">
        <f>A31*Parameters!$B$4+B31*Parameters!$B$5</f>
        <v/>
      </c>
      <c r="D31">
        <f>SQRT(E31)</f>
        <v/>
      </c>
      <c r="E31">
        <f>A31^2*Parameters!$B$6^2+B31^2*Parameters!$B$7^2+2*A31*B31*Parameters!$B$12</f>
        <v/>
      </c>
      <c r="F31">
        <f>Parameters!$B$24+Parameters!$B$26*(C31-Parameters!$B$23)^2</f>
        <v/>
      </c>
      <c r="G31" s="8">
        <f>E31-F31</f>
        <v/>
      </c>
      <c r="I31" t="n">
        <v>0.28</v>
      </c>
      <c r="J31">
        <f>Parameters!$B$9+Parameters!$B$20*I31</f>
        <v/>
      </c>
      <c r="K31">
        <f>Parameters!$B$9-Parameters!$B$20*I31</f>
        <v/>
      </c>
      <c r="M31" t="n">
        <v>0.056</v>
      </c>
      <c r="N31">
        <f>Parameters!$B$9+Parameters!$B$20*SQRT(M31)</f>
        <v/>
      </c>
      <c r="O31">
        <f>Parameters!$B$9-Parameters!$B$20*SQRT(M31)</f>
        <v/>
      </c>
      <c r="P31">
        <f>Parameters!$B$9+Parameters!$B$28*M31</f>
        <v/>
      </c>
      <c r="Q31">
        <f>Parameters!$B$17+Parameters!$B$29*(M31-Parameters!$B$18)</f>
        <v/>
      </c>
      <c r="S31" t="n">
        <v>0.15</v>
      </c>
      <c r="T31">
        <f>Parameters!$B$24+Parameters!$B$26*(S31-Parameters!$B$23)^2</f>
        <v/>
      </c>
      <c r="U31">
        <f>SQRT(T31)</f>
        <v/>
      </c>
    </row>
    <row r="32">
      <c r="A32" t="n">
        <v>0.95</v>
      </c>
      <c r="B32">
        <f>1-A32</f>
        <v/>
      </c>
      <c r="C32">
        <f>A32*Parameters!$B$4+B32*Parameters!$B$5</f>
        <v/>
      </c>
      <c r="D32">
        <f>SQRT(E32)</f>
        <v/>
      </c>
      <c r="E32">
        <f>A32^2*Parameters!$B$6^2+B32^2*Parameters!$B$7^2+2*A32*B32*Parameters!$B$12</f>
        <v/>
      </c>
      <c r="F32">
        <f>Parameters!$B$24+Parameters!$B$26*(C32-Parameters!$B$23)^2</f>
        <v/>
      </c>
      <c r="G32" s="8">
        <f>E32-F32</f>
        <v/>
      </c>
      <c r="I32" t="n">
        <v>0.29</v>
      </c>
      <c r="J32">
        <f>Parameters!$B$9+Parameters!$B$20*I32</f>
        <v/>
      </c>
      <c r="K32">
        <f>Parameters!$B$9-Parameters!$B$20*I32</f>
        <v/>
      </c>
      <c r="M32" t="n">
        <v>0.058</v>
      </c>
      <c r="N32">
        <f>Parameters!$B$9+Parameters!$B$20*SQRT(M32)</f>
        <v/>
      </c>
      <c r="O32">
        <f>Parameters!$B$9-Parameters!$B$20*SQRT(M32)</f>
        <v/>
      </c>
      <c r="P32">
        <f>Parameters!$B$9+Parameters!$B$28*M32</f>
        <v/>
      </c>
      <c r="Q32">
        <f>Parameters!$B$17+Parameters!$B$29*(M32-Parameters!$B$18)</f>
        <v/>
      </c>
      <c r="S32" t="n">
        <v>0.1525</v>
      </c>
      <c r="T32">
        <f>Parameters!$B$24+Parameters!$B$26*(S32-Parameters!$B$23)^2</f>
        <v/>
      </c>
      <c r="U32">
        <f>SQRT(T32)</f>
        <v/>
      </c>
    </row>
    <row r="33">
      <c r="A33" t="n">
        <v>1</v>
      </c>
      <c r="B33">
        <f>1-A33</f>
        <v/>
      </c>
      <c r="C33">
        <f>A33*Parameters!$B$4+B33*Parameters!$B$5</f>
        <v/>
      </c>
      <c r="D33">
        <f>SQRT(E33)</f>
        <v/>
      </c>
      <c r="E33">
        <f>A33^2*Parameters!$B$6^2+B33^2*Parameters!$B$7^2+2*A33*B33*Parameters!$B$12</f>
        <v/>
      </c>
      <c r="F33">
        <f>Parameters!$B$24+Parameters!$B$26*(C33-Parameters!$B$23)^2</f>
        <v/>
      </c>
      <c r="G33" s="8">
        <f>E33-F33</f>
        <v/>
      </c>
      <c r="I33" t="n">
        <v>0.3</v>
      </c>
      <c r="J33">
        <f>Parameters!$B$9+Parameters!$B$20*I33</f>
        <v/>
      </c>
      <c r="K33">
        <f>Parameters!$B$9-Parameters!$B$20*I33</f>
        <v/>
      </c>
      <c r="M33" t="n">
        <v>0.06</v>
      </c>
      <c r="N33">
        <f>Parameters!$B$9+Parameters!$B$20*SQRT(M33)</f>
        <v/>
      </c>
      <c r="O33">
        <f>Parameters!$B$9-Parameters!$B$20*SQRT(M33)</f>
        <v/>
      </c>
      <c r="P33">
        <f>Parameters!$B$9+Parameters!$B$28*M33</f>
        <v/>
      </c>
      <c r="Q33">
        <f>Parameters!$B$17+Parameters!$B$29*(M33-Parameters!$B$18)</f>
        <v/>
      </c>
      <c r="S33" t="n">
        <v>0.155</v>
      </c>
      <c r="T33">
        <f>Parameters!$B$24+Parameters!$B$26*(S33-Parameters!$B$23)^2</f>
        <v/>
      </c>
      <c r="U33">
        <f>SQRT(T33)</f>
        <v/>
      </c>
    </row>
    <row r="34">
      <c r="A34" t="n">
        <v>1.05</v>
      </c>
      <c r="B34">
        <f>1-A34</f>
        <v/>
      </c>
      <c r="C34">
        <f>A34*Parameters!$B$4+B34*Parameters!$B$5</f>
        <v/>
      </c>
      <c r="D34">
        <f>SQRT(E34)</f>
        <v/>
      </c>
      <c r="E34">
        <f>A34^2*Parameters!$B$6^2+B34^2*Parameters!$B$7^2+2*A34*B34*Parameters!$B$12</f>
        <v/>
      </c>
      <c r="F34">
        <f>Parameters!$B$24+Parameters!$B$26*(C34-Parameters!$B$23)^2</f>
        <v/>
      </c>
      <c r="G34" s="8">
        <f>E34-F34</f>
        <v/>
      </c>
      <c r="M34" t="n">
        <v>0.062</v>
      </c>
      <c r="N34">
        <f>Parameters!$B$9+Parameters!$B$20*SQRT(M34)</f>
        <v/>
      </c>
      <c r="O34">
        <f>Parameters!$B$9-Parameters!$B$20*SQRT(M34)</f>
        <v/>
      </c>
      <c r="P34">
        <f>Parameters!$B$9+Parameters!$B$28*M34</f>
        <v/>
      </c>
      <c r="Q34">
        <f>Parameters!$B$17+Parameters!$B$29*(M34-Parameters!$B$18)</f>
        <v/>
      </c>
      <c r="S34" t="n">
        <v>0.1575</v>
      </c>
      <c r="T34">
        <f>Parameters!$B$24+Parameters!$B$26*(S34-Parameters!$B$23)^2</f>
        <v/>
      </c>
      <c r="U34">
        <f>SQRT(T34)</f>
        <v/>
      </c>
    </row>
    <row r="35">
      <c r="A35" t="n">
        <v>1.1</v>
      </c>
      <c r="B35">
        <f>1-A35</f>
        <v/>
      </c>
      <c r="C35">
        <f>A35*Parameters!$B$4+B35*Parameters!$B$5</f>
        <v/>
      </c>
      <c r="D35">
        <f>SQRT(E35)</f>
        <v/>
      </c>
      <c r="E35">
        <f>A35^2*Parameters!$B$6^2+B35^2*Parameters!$B$7^2+2*A35*B35*Parameters!$B$12</f>
        <v/>
      </c>
      <c r="F35">
        <f>Parameters!$B$24+Parameters!$B$26*(C35-Parameters!$B$23)^2</f>
        <v/>
      </c>
      <c r="G35" s="8">
        <f>E35-F35</f>
        <v/>
      </c>
      <c r="M35" t="n">
        <v>0.064</v>
      </c>
      <c r="N35">
        <f>Parameters!$B$9+Parameters!$B$20*SQRT(M35)</f>
        <v/>
      </c>
      <c r="O35">
        <f>Parameters!$B$9-Parameters!$B$20*SQRT(M35)</f>
        <v/>
      </c>
      <c r="P35">
        <f>Parameters!$B$9+Parameters!$B$28*M35</f>
        <v/>
      </c>
      <c r="Q35">
        <f>Parameters!$B$17+Parameters!$B$29*(M35-Parameters!$B$18)</f>
        <v/>
      </c>
      <c r="S35" t="n">
        <v>0.16</v>
      </c>
      <c r="T35">
        <f>Parameters!$B$24+Parameters!$B$26*(S35-Parameters!$B$23)^2</f>
        <v/>
      </c>
      <c r="U35">
        <f>SQRT(T35)</f>
        <v/>
      </c>
    </row>
    <row r="36">
      <c r="A36" t="n">
        <v>1.15</v>
      </c>
      <c r="B36">
        <f>1-A36</f>
        <v/>
      </c>
      <c r="C36">
        <f>A36*Parameters!$B$4+B36*Parameters!$B$5</f>
        <v/>
      </c>
      <c r="D36">
        <f>SQRT(E36)</f>
        <v/>
      </c>
      <c r="E36">
        <f>A36^2*Parameters!$B$6^2+B36^2*Parameters!$B$7^2+2*A36*B36*Parameters!$B$12</f>
        <v/>
      </c>
      <c r="F36">
        <f>Parameters!$B$24+Parameters!$B$26*(C36-Parameters!$B$23)^2</f>
        <v/>
      </c>
      <c r="G36" s="8">
        <f>E36-F36</f>
        <v/>
      </c>
      <c r="M36" t="n">
        <v>0.066</v>
      </c>
      <c r="N36">
        <f>Parameters!$B$9+Parameters!$B$20*SQRT(M36)</f>
        <v/>
      </c>
      <c r="O36">
        <f>Parameters!$B$9-Parameters!$B$20*SQRT(M36)</f>
        <v/>
      </c>
      <c r="P36">
        <f>Parameters!$B$9+Parameters!$B$28*M36</f>
        <v/>
      </c>
      <c r="Q36">
        <f>Parameters!$B$17+Parameters!$B$29*(M36-Parameters!$B$18)</f>
        <v/>
      </c>
    </row>
    <row r="37">
      <c r="A37" t="n">
        <v>1.2</v>
      </c>
      <c r="B37">
        <f>1-A37</f>
        <v/>
      </c>
      <c r="C37">
        <f>A37*Parameters!$B$4+B37*Parameters!$B$5</f>
        <v/>
      </c>
      <c r="D37">
        <f>SQRT(E37)</f>
        <v/>
      </c>
      <c r="E37">
        <f>A37^2*Parameters!$B$6^2+B37^2*Parameters!$B$7^2+2*A37*B37*Parameters!$B$12</f>
        <v/>
      </c>
      <c r="F37">
        <f>Parameters!$B$24+Parameters!$B$26*(C37-Parameters!$B$23)^2</f>
        <v/>
      </c>
      <c r="G37" s="8">
        <f>E37-F37</f>
        <v/>
      </c>
      <c r="M37" t="n">
        <v>0.068</v>
      </c>
      <c r="N37">
        <f>Parameters!$B$9+Parameters!$B$20*SQRT(M37)</f>
        <v/>
      </c>
      <c r="O37">
        <f>Parameters!$B$9-Parameters!$B$20*SQRT(M37)</f>
        <v/>
      </c>
      <c r="P37">
        <f>Parameters!$B$9+Parameters!$B$28*M37</f>
        <v/>
      </c>
      <c r="Q37">
        <f>Parameters!$B$17+Parameters!$B$29*(M37-Parameters!$B$18)</f>
        <v/>
      </c>
    </row>
    <row r="38">
      <c r="A38" t="n">
        <v>1.25</v>
      </c>
      <c r="B38">
        <f>1-A38</f>
        <v/>
      </c>
      <c r="C38">
        <f>A38*Parameters!$B$4+B38*Parameters!$B$5</f>
        <v/>
      </c>
      <c r="D38">
        <f>SQRT(E38)</f>
        <v/>
      </c>
      <c r="E38">
        <f>A38^2*Parameters!$B$6^2+B38^2*Parameters!$B$7^2+2*A38*B38*Parameters!$B$12</f>
        <v/>
      </c>
      <c r="F38">
        <f>Parameters!$B$24+Parameters!$B$26*(C38-Parameters!$B$23)^2</f>
        <v/>
      </c>
      <c r="G38" s="8">
        <f>E38-F38</f>
        <v/>
      </c>
      <c r="M38" t="n">
        <v>0.07000000000000001</v>
      </c>
      <c r="N38">
        <f>Parameters!$B$9+Parameters!$B$20*SQRT(M38)</f>
        <v/>
      </c>
      <c r="O38">
        <f>Parameters!$B$9-Parameters!$B$20*SQRT(M38)</f>
        <v/>
      </c>
      <c r="P38">
        <f>Parameters!$B$9+Parameters!$B$28*M38</f>
        <v/>
      </c>
      <c r="Q38">
        <f>Parameters!$B$17+Parameters!$B$29*(M38-Parameters!$B$18)</f>
        <v/>
      </c>
    </row>
    <row r="39">
      <c r="A39" t="n">
        <v>1.3</v>
      </c>
      <c r="B39">
        <f>1-A39</f>
        <v/>
      </c>
      <c r="C39">
        <f>A39*Parameters!$B$4+B39*Parameters!$B$5</f>
        <v/>
      </c>
      <c r="D39">
        <f>SQRT(E39)</f>
        <v/>
      </c>
      <c r="E39">
        <f>A39^2*Parameters!$B$6^2+B39^2*Parameters!$B$7^2+2*A39*B39*Parameters!$B$12</f>
        <v/>
      </c>
      <c r="F39">
        <f>Parameters!$B$24+Parameters!$B$26*(C39-Parameters!$B$23)^2</f>
        <v/>
      </c>
      <c r="G39" s="8">
        <f>E39-F39</f>
        <v/>
      </c>
      <c r="M39" t="n">
        <v>0.07199999999999999</v>
      </c>
      <c r="N39">
        <f>Parameters!$B$9+Parameters!$B$20*SQRT(M39)</f>
        <v/>
      </c>
      <c r="O39">
        <f>Parameters!$B$9-Parameters!$B$20*SQRT(M39)</f>
        <v/>
      </c>
      <c r="P39">
        <f>Parameters!$B$9+Parameters!$B$28*M39</f>
        <v/>
      </c>
      <c r="Q39">
        <f>Parameters!$B$17+Parameters!$B$29*(M39-Parameters!$B$18)</f>
        <v/>
      </c>
    </row>
    <row r="40">
      <c r="A40" t="n">
        <v>1.35</v>
      </c>
      <c r="B40">
        <f>1-A40</f>
        <v/>
      </c>
      <c r="C40">
        <f>A40*Parameters!$B$4+B40*Parameters!$B$5</f>
        <v/>
      </c>
      <c r="D40">
        <f>SQRT(E40)</f>
        <v/>
      </c>
      <c r="E40">
        <f>A40^2*Parameters!$B$6^2+B40^2*Parameters!$B$7^2+2*A40*B40*Parameters!$B$12</f>
        <v/>
      </c>
      <c r="F40">
        <f>Parameters!$B$24+Parameters!$B$26*(C40-Parameters!$B$23)^2</f>
        <v/>
      </c>
      <c r="G40" s="8">
        <f>E40-F40</f>
        <v/>
      </c>
      <c r="M40" t="n">
        <v>0.074</v>
      </c>
      <c r="N40">
        <f>Parameters!$B$9+Parameters!$B$20*SQRT(M40)</f>
        <v/>
      </c>
      <c r="O40">
        <f>Parameters!$B$9-Parameters!$B$20*SQRT(M40)</f>
        <v/>
      </c>
      <c r="P40">
        <f>Parameters!$B$9+Parameters!$B$28*M40</f>
        <v/>
      </c>
      <c r="Q40">
        <f>Parameters!$B$17+Parameters!$B$29*(M40-Parameters!$B$18)</f>
        <v/>
      </c>
    </row>
    <row r="41">
      <c r="A41" t="n">
        <v>1.4</v>
      </c>
      <c r="B41">
        <f>1-A41</f>
        <v/>
      </c>
      <c r="C41">
        <f>A41*Parameters!$B$4+B41*Parameters!$B$5</f>
        <v/>
      </c>
      <c r="D41">
        <f>SQRT(E41)</f>
        <v/>
      </c>
      <c r="E41">
        <f>A41^2*Parameters!$B$6^2+B41^2*Parameters!$B$7^2+2*A41*B41*Parameters!$B$12</f>
        <v/>
      </c>
      <c r="F41">
        <f>Parameters!$B$24+Parameters!$B$26*(C41-Parameters!$B$23)^2</f>
        <v/>
      </c>
      <c r="G41" s="8">
        <f>E41-F41</f>
        <v/>
      </c>
      <c r="M41" t="n">
        <v>0.076</v>
      </c>
      <c r="N41">
        <f>Parameters!$B$9+Parameters!$B$20*SQRT(M41)</f>
        <v/>
      </c>
      <c r="O41">
        <f>Parameters!$B$9-Parameters!$B$20*SQRT(M41)</f>
        <v/>
      </c>
      <c r="P41">
        <f>Parameters!$B$9+Parameters!$B$28*M41</f>
        <v/>
      </c>
      <c r="Q41">
        <f>Parameters!$B$17+Parameters!$B$29*(M41-Parameters!$B$18)</f>
        <v/>
      </c>
    </row>
    <row r="42">
      <c r="A42" t="n">
        <v>1.45</v>
      </c>
      <c r="B42">
        <f>1-A42</f>
        <v/>
      </c>
      <c r="C42">
        <f>A42*Parameters!$B$4+B42*Parameters!$B$5</f>
        <v/>
      </c>
      <c r="D42">
        <f>SQRT(E42)</f>
        <v/>
      </c>
      <c r="E42">
        <f>A42^2*Parameters!$B$6^2+B42^2*Parameters!$B$7^2+2*A42*B42*Parameters!$B$12</f>
        <v/>
      </c>
      <c r="F42">
        <f>Parameters!$B$24+Parameters!$B$26*(C42-Parameters!$B$23)^2</f>
        <v/>
      </c>
      <c r="G42" s="8">
        <f>E42-F42</f>
        <v/>
      </c>
      <c r="M42" t="n">
        <v>0.078</v>
      </c>
      <c r="N42">
        <f>Parameters!$B$9+Parameters!$B$20*SQRT(M42)</f>
        <v/>
      </c>
      <c r="O42">
        <f>Parameters!$B$9-Parameters!$B$20*SQRT(M42)</f>
        <v/>
      </c>
      <c r="P42">
        <f>Parameters!$B$9+Parameters!$B$28*M42</f>
        <v/>
      </c>
      <c r="Q42">
        <f>Parameters!$B$17+Parameters!$B$29*(M42-Parameters!$B$18)</f>
        <v/>
      </c>
    </row>
    <row r="43">
      <c r="A43" t="n">
        <v>1.5</v>
      </c>
      <c r="B43">
        <f>1-A43</f>
        <v/>
      </c>
      <c r="C43">
        <f>A43*Parameters!$B$4+B43*Parameters!$B$5</f>
        <v/>
      </c>
      <c r="D43">
        <f>SQRT(E43)</f>
        <v/>
      </c>
      <c r="E43">
        <f>A43^2*Parameters!$B$6^2+B43^2*Parameters!$B$7^2+2*A43*B43*Parameters!$B$12</f>
        <v/>
      </c>
      <c r="F43">
        <f>Parameters!$B$24+Parameters!$B$26*(C43-Parameters!$B$23)^2</f>
        <v/>
      </c>
      <c r="G43" s="8">
        <f>E43-F43</f>
        <v/>
      </c>
      <c r="M43" t="n">
        <v>0.08</v>
      </c>
      <c r="N43">
        <f>Parameters!$B$9+Parameters!$B$20*SQRT(M43)</f>
        <v/>
      </c>
      <c r="O43">
        <f>Parameters!$B$9-Parameters!$B$20*SQRT(M43)</f>
        <v/>
      </c>
      <c r="P43">
        <f>Parameters!$B$9+Parameters!$B$28*M43</f>
        <v/>
      </c>
      <c r="Q43">
        <f>Parameters!$B$17+Parameters!$B$29*(M43-Parameters!$B$18)</f>
        <v/>
      </c>
    </row>
    <row r="44">
      <c r="M44" t="n">
        <v>0.082</v>
      </c>
      <c r="N44">
        <f>Parameters!$B$9+Parameters!$B$20*SQRT(M44)</f>
        <v/>
      </c>
      <c r="O44">
        <f>Parameters!$B$9-Parameters!$B$20*SQRT(M44)</f>
        <v/>
      </c>
      <c r="P44">
        <f>Parameters!$B$9+Parameters!$B$28*M44</f>
        <v/>
      </c>
      <c r="Q44">
        <f>Parameters!$B$17+Parameters!$B$29*(M44-Parameters!$B$18)</f>
        <v/>
      </c>
    </row>
    <row r="45">
      <c r="M45" t="n">
        <v>0.08400000000000001</v>
      </c>
      <c r="N45">
        <f>Parameters!$B$9+Parameters!$B$20*SQRT(M45)</f>
        <v/>
      </c>
      <c r="O45">
        <f>Parameters!$B$9-Parameters!$B$20*SQRT(M45)</f>
        <v/>
      </c>
      <c r="P45">
        <f>Parameters!$B$9+Parameters!$B$28*M45</f>
        <v/>
      </c>
      <c r="Q45">
        <f>Parameters!$B$17+Parameters!$B$29*(M45-Parameters!$B$18)</f>
        <v/>
      </c>
    </row>
    <row r="46">
      <c r="M46" t="n">
        <v>0.08599999999999999</v>
      </c>
      <c r="N46">
        <f>Parameters!$B$9+Parameters!$B$20*SQRT(M46)</f>
        <v/>
      </c>
      <c r="O46">
        <f>Parameters!$B$9-Parameters!$B$20*SQRT(M46)</f>
        <v/>
      </c>
      <c r="P46">
        <f>Parameters!$B$9+Parameters!$B$28*M46</f>
        <v/>
      </c>
      <c r="Q46">
        <f>Parameters!$B$17+Parameters!$B$29*(M46-Parameters!$B$18)</f>
        <v/>
      </c>
    </row>
    <row r="47">
      <c r="M47" t="n">
        <v>0.08799999999999999</v>
      </c>
      <c r="N47">
        <f>Parameters!$B$9+Parameters!$B$20*SQRT(M47)</f>
        <v/>
      </c>
      <c r="O47">
        <f>Parameters!$B$9-Parameters!$B$20*SQRT(M47)</f>
        <v/>
      </c>
      <c r="P47">
        <f>Parameters!$B$9+Parameters!$B$28*M47</f>
        <v/>
      </c>
      <c r="Q47">
        <f>Parameters!$B$17+Parameters!$B$29*(M47-Parameters!$B$18)</f>
        <v/>
      </c>
    </row>
    <row r="48">
      <c r="M48" t="n">
        <v>0.09</v>
      </c>
      <c r="N48">
        <f>Parameters!$B$9+Parameters!$B$20*SQRT(M48)</f>
        <v/>
      </c>
      <c r="O48">
        <f>Parameters!$B$9-Parameters!$B$20*SQRT(M48)</f>
        <v/>
      </c>
      <c r="P48">
        <f>Parameters!$B$9+Parameters!$B$28*M48</f>
        <v/>
      </c>
      <c r="Q48">
        <f>Parameters!$B$17+Parameters!$B$29*(M48-Parameters!$B$18)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6" customWidth="1" min="5" max="5"/>
    <col width="12" customWidth="1" min="6" max="6"/>
    <col width="18" customWidth="1" min="7" max="7"/>
    <col width="12" customWidth="1" min="8" max="8"/>
    <col width="24" customWidth="1" min="9" max="9"/>
  </cols>
  <sheetData>
    <row r="1">
      <c r="A1" s="3" t="inlineStr">
        <is>
          <t>Ray slope vs tangent slope at points on the risky-asset frontier (σ² on x-axis)</t>
        </is>
      </c>
    </row>
    <row r="2">
      <c r="A2" t="inlineStr">
        <is>
          <t>Tangent slope dμ/dσ² = (μ1 − μ2) / (2[w·σ1² − (1−w)·σ2² + (1−2w)·σ12]);  ray slope = (μ − rf)/σ².  Only at p is tangent = ½ × ray.</t>
        </is>
      </c>
    </row>
    <row r="4">
      <c r="A4" s="6" t="inlineStr">
        <is>
          <t>w1</t>
        </is>
      </c>
      <c r="B4" s="6" t="inlineStr">
        <is>
          <t>μ</t>
        </is>
      </c>
      <c r="C4" s="6" t="inlineStr">
        <is>
          <t>σ²</t>
        </is>
      </c>
      <c r="D4" s="6" t="inlineStr">
        <is>
          <t>Ray slope (μ − rf)/σ²</t>
        </is>
      </c>
      <c r="E4" s="6" t="inlineStr">
        <is>
          <t>Tangent slope dμ/dσ²</t>
        </is>
      </c>
      <c r="F4" s="6" t="inlineStr">
        <is>
          <t>Tangent ÷ ray</t>
        </is>
      </c>
      <c r="G4" s="6" t="inlineStr">
        <is>
          <t>Tangent-line intercept at σ²=0</t>
        </is>
      </c>
      <c r="H4" s="6" t="inlineStr">
        <is>
          <t>(rf + μ)/2</t>
        </is>
      </c>
      <c r="I4" s="6" t="inlineStr">
        <is>
          <t>Point</t>
        </is>
      </c>
    </row>
    <row r="5">
      <c r="A5" s="2" t="n">
        <v>-0.5</v>
      </c>
      <c r="B5" s="2">
        <f>A5*Parameters!$B$4+(1-A5)*Parameters!$B$5</f>
        <v/>
      </c>
      <c r="C5" s="2">
        <f>A5^2*Parameters!$B$6^2+(1-A5)^2*Parameters!$B$7^2+2*A5*(1-A5)*Parameters!$B$12</f>
        <v/>
      </c>
      <c r="D5" s="2">
        <f>(B5-Parameters!$B$9)/C5</f>
        <v/>
      </c>
      <c r="E5" s="2">
        <f>(Parameters!$B$4-Parameters!$B$5)/(2*(A5*Parameters!$B$6^2-(1-A5)*Parameters!$B$7^2+(1-2*A5)*Parameters!$B$12))</f>
        <v/>
      </c>
      <c r="F5" s="2">
        <f>E5/D5</f>
        <v/>
      </c>
      <c r="G5" s="2">
        <f>B5-E5*C5</f>
        <v/>
      </c>
      <c r="H5" s="2">
        <f>(Parameters!$B$9+B5)/2</f>
        <v/>
      </c>
      <c r="I5" t="inlineStr"/>
    </row>
    <row r="6">
      <c r="A6" s="2" t="n">
        <v>-0.2</v>
      </c>
      <c r="B6" s="2">
        <f>A6*Parameters!$B$4+(1-A6)*Parameters!$B$5</f>
        <v/>
      </c>
      <c r="C6" s="2">
        <f>A6^2*Parameters!$B$6^2+(1-A6)^2*Parameters!$B$7^2+2*A6*(1-A6)*Parameters!$B$12</f>
        <v/>
      </c>
      <c r="D6" s="2">
        <f>(B6-Parameters!$B$9)/C6</f>
        <v/>
      </c>
      <c r="E6" s="2">
        <f>(Parameters!$B$4-Parameters!$B$5)/(2*(A6*Parameters!$B$6^2-(1-A6)*Parameters!$B$7^2+(1-2*A6)*Parameters!$B$12))</f>
        <v/>
      </c>
      <c r="F6" s="2">
        <f>E6/D6</f>
        <v/>
      </c>
      <c r="G6" s="2">
        <f>B6-E6*C6</f>
        <v/>
      </c>
      <c r="H6" s="2">
        <f>(Parameters!$B$9+B6)/2</f>
        <v/>
      </c>
      <c r="I6" t="inlineStr"/>
    </row>
    <row r="7">
      <c r="A7" s="2" t="n">
        <v>0</v>
      </c>
      <c r="B7" s="2">
        <f>A7*Parameters!$B$4+(1-A7)*Parameters!$B$5</f>
        <v/>
      </c>
      <c r="C7" s="2">
        <f>A7^2*Parameters!$B$6^2+(1-A7)^2*Parameters!$B$7^2+2*A7*(1-A7)*Parameters!$B$12</f>
        <v/>
      </c>
      <c r="D7" s="2">
        <f>(B7-Parameters!$B$9)/C7</f>
        <v/>
      </c>
      <c r="E7" s="2">
        <f>(Parameters!$B$4-Parameters!$B$5)/(2*(A7*Parameters!$B$6^2-(1-A7)*Parameters!$B$7^2+(1-2*A7)*Parameters!$B$12))</f>
        <v/>
      </c>
      <c r="F7" s="2">
        <f>E7/D7</f>
        <v/>
      </c>
      <c r="G7" s="2">
        <f>B7-E7*C7</f>
        <v/>
      </c>
      <c r="H7" s="2">
        <f>(Parameters!$B$9+B7)/2</f>
        <v/>
      </c>
      <c r="I7" t="inlineStr"/>
    </row>
    <row r="8">
      <c r="A8" s="2" t="n">
        <v>0.1</v>
      </c>
      <c r="B8" s="2">
        <f>A8*Parameters!$B$4+(1-A8)*Parameters!$B$5</f>
        <v/>
      </c>
      <c r="C8" s="2">
        <f>A8^2*Parameters!$B$6^2+(1-A8)^2*Parameters!$B$7^2+2*A8*(1-A8)*Parameters!$B$12</f>
        <v/>
      </c>
      <c r="D8" s="2">
        <f>(B8-Parameters!$B$9)/C8</f>
        <v/>
      </c>
      <c r="E8" s="2">
        <f>(Parameters!$B$4-Parameters!$B$5)/(2*(A8*Parameters!$B$6^2-(1-A8)*Parameters!$B$7^2+(1-2*A8)*Parameters!$B$12))</f>
        <v/>
      </c>
      <c r="F8" s="2">
        <f>E8/D8</f>
        <v/>
      </c>
      <c r="G8" s="2">
        <f>B8-E8*C8</f>
        <v/>
      </c>
      <c r="H8" s="2">
        <f>(Parameters!$B$9+B8)/2</f>
        <v/>
      </c>
      <c r="I8" t="inlineStr"/>
    </row>
    <row r="9">
      <c r="A9" s="2" t="n">
        <v>0.2</v>
      </c>
      <c r="B9" s="2">
        <f>A9*Parameters!$B$4+(1-A9)*Parameters!$B$5</f>
        <v/>
      </c>
      <c r="C9" s="2">
        <f>A9^2*Parameters!$B$6^2+(1-A9)^2*Parameters!$B$7^2+2*A9*(1-A9)*Parameters!$B$12</f>
        <v/>
      </c>
      <c r="D9" s="2">
        <f>(B9-Parameters!$B$9)/C9</f>
        <v/>
      </c>
      <c r="E9" s="2">
        <f>(Parameters!$B$4-Parameters!$B$5)/(2*(A9*Parameters!$B$6^2-(1-A9)*Parameters!$B$7^2+(1-2*A9)*Parameters!$B$12))</f>
        <v/>
      </c>
      <c r="F9" s="2">
        <f>E9/D9</f>
        <v/>
      </c>
      <c r="G9" s="2">
        <f>B9-E9*C9</f>
        <v/>
      </c>
      <c r="H9" s="2">
        <f>(Parameters!$B$9+B9)/2</f>
        <v/>
      </c>
      <c r="I9" t="inlineStr"/>
    </row>
    <row r="10">
      <c r="A10" s="2" t="n">
        <v>0.3</v>
      </c>
      <c r="B10" s="2">
        <f>A10*Parameters!$B$4+(1-A10)*Parameters!$B$5</f>
        <v/>
      </c>
      <c r="C10" s="2">
        <f>A10^2*Parameters!$B$6^2+(1-A10)^2*Parameters!$B$7^2+2*A10*(1-A10)*Parameters!$B$12</f>
        <v/>
      </c>
      <c r="D10" s="2">
        <f>(B10-Parameters!$B$9)/C10</f>
        <v/>
      </c>
      <c r="E10" s="2">
        <f>(Parameters!$B$4-Parameters!$B$5)/(2*(A10*Parameters!$B$6^2-(1-A10)*Parameters!$B$7^2+(1-2*A10)*Parameters!$B$12))</f>
        <v/>
      </c>
      <c r="F10" s="2">
        <f>E10/D10</f>
        <v/>
      </c>
      <c r="G10" s="2">
        <f>B10-E10*C10</f>
        <v/>
      </c>
      <c r="H10" s="2">
        <f>(Parameters!$B$9+B10)/2</f>
        <v/>
      </c>
      <c r="I10" t="inlineStr"/>
    </row>
    <row r="11">
      <c r="A11" s="2" t="n">
        <v>0.4</v>
      </c>
      <c r="B11" s="2">
        <f>A11*Parameters!$B$4+(1-A11)*Parameters!$B$5</f>
        <v/>
      </c>
      <c r="C11" s="2">
        <f>A11^2*Parameters!$B$6^2+(1-A11)^2*Parameters!$B$7^2+2*A11*(1-A11)*Parameters!$B$12</f>
        <v/>
      </c>
      <c r="D11" s="2">
        <f>(B11-Parameters!$B$9)/C11</f>
        <v/>
      </c>
      <c r="E11" s="2">
        <f>(Parameters!$B$4-Parameters!$B$5)/(2*(A11*Parameters!$B$6^2-(1-A11)*Parameters!$B$7^2+(1-2*A11)*Parameters!$B$12))</f>
        <v/>
      </c>
      <c r="F11" s="2">
        <f>E11/D11</f>
        <v/>
      </c>
      <c r="G11" s="2">
        <f>B11-E11*C11</f>
        <v/>
      </c>
      <c r="H11" s="2">
        <f>(Parameters!$B$9+B11)/2</f>
        <v/>
      </c>
      <c r="I11" t="inlineStr"/>
    </row>
    <row r="12">
      <c r="A12" s="9">
        <f>Parameters!$B$15</f>
        <v/>
      </c>
      <c r="B12" s="9">
        <f>A12*Parameters!$B$4+(1-A12)*Parameters!$B$5</f>
        <v/>
      </c>
      <c r="C12" s="9">
        <f>A12^2*Parameters!$B$6^2+(1-A12)^2*Parameters!$B$7^2+2*A12*(1-A12)*Parameters!$B$12</f>
        <v/>
      </c>
      <c r="D12" s="9">
        <f>(B12-Parameters!$B$9)/C12</f>
        <v/>
      </c>
      <c r="E12" s="9">
        <f>(Parameters!$B$4-Parameters!$B$5)/(2*(A12*Parameters!$B$6^2-(1-A12)*Parameters!$B$7^2+(1-2*A12)*Parameters!$B$12))</f>
        <v/>
      </c>
      <c r="F12" s="9">
        <f>E12/D12</f>
        <v/>
      </c>
      <c r="G12" s="9">
        <f>B12-E12*C12</f>
        <v/>
      </c>
      <c r="H12" s="9">
        <f>(Parameters!$B$9+B12)/2</f>
        <v/>
      </c>
      <c r="I12" s="3" t="inlineStr">
        <is>
          <t>Tangency p</t>
        </is>
      </c>
    </row>
    <row r="13">
      <c r="A13" s="2" t="n">
        <v>0.5</v>
      </c>
      <c r="B13" s="2">
        <f>A13*Parameters!$B$4+(1-A13)*Parameters!$B$5</f>
        <v/>
      </c>
      <c r="C13" s="2">
        <f>A13^2*Parameters!$B$6^2+(1-A13)^2*Parameters!$B$7^2+2*A13*(1-A13)*Parameters!$B$12</f>
        <v/>
      </c>
      <c r="D13" s="2">
        <f>(B13-Parameters!$B$9)/C13</f>
        <v/>
      </c>
      <c r="E13" s="2">
        <f>(Parameters!$B$4-Parameters!$B$5)/(2*(A13*Parameters!$B$6^2-(1-A13)*Parameters!$B$7^2+(1-2*A13)*Parameters!$B$12))</f>
        <v/>
      </c>
      <c r="F13" s="2">
        <f>E13/D13</f>
        <v/>
      </c>
      <c r="G13" s="2">
        <f>B13-E13*C13</f>
        <v/>
      </c>
      <c r="H13" s="2">
        <f>(Parameters!$B$9+B13)/2</f>
        <v/>
      </c>
      <c r="I13" t="inlineStr"/>
    </row>
    <row r="14">
      <c r="A14" s="2" t="n">
        <v>0.6</v>
      </c>
      <c r="B14" s="2">
        <f>A14*Parameters!$B$4+(1-A14)*Parameters!$B$5</f>
        <v/>
      </c>
      <c r="C14" s="2">
        <f>A14^2*Parameters!$B$6^2+(1-A14)^2*Parameters!$B$7^2+2*A14*(1-A14)*Parameters!$B$12</f>
        <v/>
      </c>
      <c r="D14" s="2">
        <f>(B14-Parameters!$B$9)/C14</f>
        <v/>
      </c>
      <c r="E14" s="2">
        <f>(Parameters!$B$4-Parameters!$B$5)/(2*(A14*Parameters!$B$6^2-(1-A14)*Parameters!$B$7^2+(1-2*A14)*Parameters!$B$12))</f>
        <v/>
      </c>
      <c r="F14" s="2">
        <f>E14/D14</f>
        <v/>
      </c>
      <c r="G14" s="2">
        <f>B14-E14*C14</f>
        <v/>
      </c>
      <c r="H14" s="2">
        <f>(Parameters!$B$9+B14)/2</f>
        <v/>
      </c>
      <c r="I14" t="inlineStr"/>
    </row>
    <row r="15">
      <c r="A15" s="2" t="n">
        <v>0.65</v>
      </c>
      <c r="B15" s="2">
        <f>A15*Parameters!$B$4+(1-A15)*Parameters!$B$5</f>
        <v/>
      </c>
      <c r="C15" s="2">
        <f>A15^2*Parameters!$B$6^2+(1-A15)^2*Parameters!$B$7^2+2*A15*(1-A15)*Parameters!$B$12</f>
        <v/>
      </c>
      <c r="D15" s="2">
        <f>(B15-Parameters!$B$9)/C15</f>
        <v/>
      </c>
      <c r="E15" s="2">
        <f>(Parameters!$B$4-Parameters!$B$5)/(2*(A15*Parameters!$B$6^2-(1-A15)*Parameters!$B$7^2+(1-2*A15)*Parameters!$B$12))</f>
        <v/>
      </c>
      <c r="F15" s="2">
        <f>E15/D15</f>
        <v/>
      </c>
      <c r="G15" s="2">
        <f>B15-E15*C15</f>
        <v/>
      </c>
      <c r="H15" s="2">
        <f>(Parameters!$B$9+B15)/2</f>
        <v/>
      </c>
      <c r="I15" t="inlineStr"/>
    </row>
    <row r="16">
      <c r="A16" s="2" t="n">
        <v>1</v>
      </c>
      <c r="B16" s="2">
        <f>A16*Parameters!$B$4+(1-A16)*Parameters!$B$5</f>
        <v/>
      </c>
      <c r="C16" s="2">
        <f>A16^2*Parameters!$B$6^2+(1-A16)^2*Parameters!$B$7^2+2*A16*(1-A16)*Parameters!$B$12</f>
        <v/>
      </c>
      <c r="D16" s="2">
        <f>(B16-Parameters!$B$9)/C16</f>
        <v/>
      </c>
      <c r="E16" s="2">
        <f>(Parameters!$B$4-Parameters!$B$5)/(2*(A16*Parameters!$B$6^2-(1-A16)*Parameters!$B$7^2+(1-2*A16)*Parameters!$B$12))</f>
        <v/>
      </c>
      <c r="F16" s="2">
        <f>E16/D16</f>
        <v/>
      </c>
      <c r="G16" s="2">
        <f>B16-E16*C16</f>
        <v/>
      </c>
      <c r="H16" s="2">
        <f>(Parameters!$B$9+B16)/2</f>
        <v/>
      </c>
      <c r="I16" t="inlineStr">
        <is>
          <t>inefficient (below GMV)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2026-10-25T13:49:44Z</dcterms:created>
  <dcterms:modified xmlns:dcterms="http://purl.org/dc/terms/" xmlns:xsi="http://www.w3.org/2001/XMLSchema-instance" xsi:type="dcterms:W3CDTF">2026-10-25T13:49:44Z</dcterms:modified>
</cp:coreProperties>
</file>